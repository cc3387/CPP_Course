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GLE?countrycode_UK" localSheetId="0">Intake!$A$1:$D$561</definedName>
    <definedName name="GLE?countrycode_UK_1" localSheetId="0">Intake!$A$1:$D$566</definedName>
    <definedName name="q?s" localSheetId="0">Intake!$A$1:$B$118</definedName>
    <definedName name="q?s_CS.PA" localSheetId="0">Intake!$A$1:$B$266</definedName>
    <definedName name="q?s_CS.PA_1" localSheetId="0">Intake!$A$1:$B$266</definedName>
    <definedName name="q?s_CS.PA_2" localSheetId="0">Intake!$A$1:$B$265</definedName>
    <definedName name="q?s_CS.PA_3" localSheetId="0">Intake!$A$1:$B$265</definedName>
    <definedName name="q?s_GLE.PA" localSheetId="0">Intake!$A$1:$B$263</definedName>
    <definedName name="q?s_GLE.PA_1" localSheetId="0">Intake!$A$1:$B$264</definedName>
    <definedName name="q?s_GLE.PA_2" localSheetId="0">Intake!$A$1:$B$262</definedName>
    <definedName name="q?s_GLE.PA_3" localSheetId="0">Intake!$A$1:$B$263</definedName>
    <definedName name="q?s_GLE.PA_4" localSheetId="0">Intake!$A$1:$B$262</definedName>
    <definedName name="q?s_IBM" localSheetId="0">Intake!$A$1:$C$299</definedName>
    <definedName name="q?s_IBM_1" localSheetId="0">Intake!$A$1:$C$300</definedName>
    <definedName name="q?s_IBM_2" localSheetId="0">Intake!$A$1:$C$300</definedName>
    <definedName name="q?s_SAP.DE" localSheetId="0">Intake!$A$1:$B$265</definedName>
    <definedName name="q?s_SAP.DE_1" localSheetId="0">Intake!$A$1:$B$265</definedName>
    <definedName name="q?s_SAP.DE_2" localSheetId="0">Intake!$A$1:$B$265</definedName>
    <definedName name="q?s_SAP.DE_3" localSheetId="0">Intake!$A$1:$B$265</definedName>
    <definedName name="q?s_TIT.MA" localSheetId="0">Intake!$A$1:$B$209</definedName>
    <definedName name="q?s_TIT.MI" localSheetId="0">Intake!$A$1:$B$258</definedName>
    <definedName name="q?s_TIT.MI_1" localSheetId="0">Intake!$A$1:$B$257</definedName>
    <definedName name="q?s_TIT.MI_2" localSheetId="0">Intake!$A$1:$B$258</definedName>
    <definedName name="q?s_TIT.MI_3" localSheetId="0">Intake!$A$1:$B$257</definedName>
    <definedName name="q?s_VOD.L" localSheetId="0">Intake!$A$1:$B$266</definedName>
    <definedName name="q?s_VOD.L_1" localSheetId="0">Intake!$A$1:$B$266</definedName>
    <definedName name="q?s_VOD.L_2" localSheetId="0">Intake!$A$1:$B$265</definedName>
    <definedName name="q?s_VOD.L_3" localSheetId="0">Intake!$A$1:$B$266</definedName>
    <definedName name="q?s_VOD.L_4" localSheetId="0">Intake!$A$1:$B$265</definedName>
    <definedName name="q?s_VOD.L_5" localSheetId="0">Intake!$A$1:$B$265</definedName>
    <definedName name="q?s_VOD.L_6" localSheetId="0">Intake!$A$1:$B$220</definedName>
    <definedName name="stock_GLE?countrycode_UK" localSheetId="0">Intake!$A$1:$D$553</definedName>
    <definedName name="stock_SAP?countrycode_DE_iso_XSTU" localSheetId="0">Intake!$A$1:$D$752</definedName>
    <definedName name="stock_TIT?countrycode_IT" localSheetId="0">Intake!$A$1:$D$778</definedName>
    <definedName name="stock_VOD" localSheetId="0">Intake!$A$1:$D$935</definedName>
    <definedName name="stock_VOD?countrycode_False" localSheetId="0">Intake!$A$1:$D$935</definedName>
    <definedName name="stock_VOD?countrycode_UK" localSheetId="0">Intake!$A$1:$D$781</definedName>
    <definedName name="TIT?countrycode_IT" localSheetId="0">Intake!$A$1:$D$803</definedName>
    <definedName name="TIT?countrycode_IT_1" localSheetId="0">Intake!$A$1:$D$803</definedName>
    <definedName name="VOD?countrycode_False" localSheetId="0">Intake!$A$1:$D$935</definedName>
    <definedName name="VOD?countrycode_UK" localSheetId="0">Intake!$A$1:$D$806</definedName>
    <definedName name="VOD?countrycode_UK_1" localSheetId="0">Intake!$A$1:$D$806</definedName>
    <definedName name="VOD?countrycode_UK_2" localSheetId="0">Intake!$A$1:$D$806</definedName>
  </definedNames>
  <calcPr calcId="145621"/>
</workbook>
</file>

<file path=xl/calcChain.xml><?xml version="1.0" encoding="utf-8"?>
<calcChain xmlns="http://schemas.openxmlformats.org/spreadsheetml/2006/main">
  <c r="A96" i="1" l="1"/>
  <c r="A116" i="1"/>
  <c r="Z3" i="2"/>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1" type="4" refreshedVersion="4" background="1" saveData="1">
    <webPr sourceData="1" parsePre="1" consecutive="1" xl2000="1" url="http://finance.yahoo.com/q?s=CS.PA"/>
  </connection>
  <connection id="5" name="Connection12" type="4" refreshedVersion="4" background="1" saveData="1">
    <webPr sourceData="1" parsePre="1" consecutive="1" xl2000="1" url="http://finance.yahoo.com/q?s=SAP.DE"/>
  </connection>
  <connection id="6" name="Connection13" type="4" refreshedVersion="4" background="1" saveData="1">
    <webPr sourceData="1" parsePre="1" consecutive="1" xl2000="1" url="http://finance.yahoo.com/q?s=VOD.L"/>
  </connection>
  <connection id="7" name="Connection14" type="4" refreshedVersion="4" background="1" saveData="1">
    <webPr sourceData="1" parsePre="1" consecutive="1" xl2000="1" url="http://finance.yahoo.com/q?s=GLE.PA"/>
  </connection>
  <connection id="8" name="Connection15" type="4" refreshedVersion="4" background="1" saveData="1">
    <webPr sourceData="1" parsePre="1" consecutive="1" xl2000="1" url="http://finance.yahoo.com/q?s=TIT.MI"/>
  </connection>
  <connection id="9" name="Connection16" type="4" refreshedVersion="4" background="1" saveData="1">
    <webPr sourceData="1" parsePre="1" consecutive="1" xl2000="1" url="http://finance.yahoo.com/q?s=CS.PA"/>
  </connection>
  <connection id="10" name="Connection17" type="4" refreshedVersion="4" background="1" saveData="1">
    <webPr sourceData="1" parsePre="1" consecutive="1" xl2000="1" url="http://finance.yahoo.com/q?s=SAP.DE"/>
  </connection>
  <connection id="11" name="Connection18" type="4" refreshedVersion="4" background="1" saveData="1">
    <webPr sourceData="1" parsePre="1" consecutive="1" xl2000="1" url="http://finance.yahoo.com/q?s=VOD.L"/>
  </connection>
  <connection id="12" name="Connection19" type="4" refreshedVersion="4" background="1" saveData="1">
    <webPr sourceData="1" parsePre="1" consecutive="1" xl2000="1" url="http://finance.yahoo.com/q?s=GLE.PA"/>
  </connection>
  <connection id="13" name="Connection2" type="4" refreshedVersion="4" background="1" saveData="1">
    <webPr sourceData="1" parsePre="1" consecutive="1" xl2000="1" url="http://finance.yahoo.com/q?s=IBM"/>
  </connection>
  <connection id="14" name="Connection20" type="4" refreshedVersion="4" background="1" saveData="1">
    <webPr sourceData="1" parsePre="1" consecutive="1" xl2000="1" url="http://finance.yahoo.com/q?s=TIT.MI"/>
  </connection>
  <connection id="15" name="Connection21" type="4" refreshedVersion="4" background="1" saveData="1">
    <webPr sourceData="1" parsePre="1" consecutive="1" xl2000="1" url="http://finance.yahoo.com/q?s=CS.PA"/>
  </connection>
  <connection id="16" name="Connection22" type="4" refreshedVersion="4" background="1" saveData="1">
    <webPr sourceData="1" parsePre="1" consecutive="1" xl2000="1" url="http://finance.yahoo.com/q?s=SAP.DE"/>
  </connection>
  <connection id="17" name="Connection23" type="4" refreshedVersion="4" background="1" saveData="1">
    <webPr sourceData="1" parsePre="1" consecutive="1" xl2000="1" url="http://finance.yahoo.com/q?s=VOD.L"/>
  </connection>
  <connection id="18" name="Connection24" type="4" refreshedVersion="4" background="1" saveData="1">
    <webPr sourceData="1" parsePre="1" consecutive="1" xl2000="1" url="http://finance.yahoo.com/q?s=GLE.PA"/>
  </connection>
  <connection id="19" name="Connection25" type="4" refreshedVersion="4" background="1" saveData="1">
    <webPr sourceData="1" parsePre="1" consecutive="1" xl2000="1" url="http://finance.yahoo.com/q?s=TIT.MI"/>
  </connection>
  <connection id="20" name="Connection26" type="4" refreshedVersion="4" background="1" saveData="1">
    <webPr sourceData="1" parsePre="1" consecutive="1" xl2000="1" url="http://finance.yahoo.com/q?s=CS.PA"/>
  </connection>
  <connection id="21" name="Connection27" type="4" refreshedVersion="4" background="1" saveData="1">
    <webPr sourceData="1" parsePre="1" consecutive="1" xl2000="1" url="http://finance.yahoo.com/q?s=SAP.DE"/>
  </connection>
  <connection id="22" name="Connection28" type="4" refreshedVersion="4" background="1" saveData="1">
    <webPr sourceData="1" parsePre="1" consecutive="1" xl2000="1" url="http://uk.finance.yahoo.com/q?s=VOD.L"/>
  </connection>
  <connection id="23" name="Connection29" type="4" refreshedVersion="4" background="1" saveData="1">
    <webPr sourceData="1" parsePre="1" consecutive="1" xl2000="1" url="http://www.marketwatch.com/investing/stock/VOD?countrycode=False"/>
  </connection>
  <connection id="24" name="Connection3" type="4" refreshedVersion="4" background="1" saveData="1">
    <webPr sourceData="1" parsePre="1" consecutive="1" xl2000="1" url="http://finance.yahoo.com/q?s=VOD.L"/>
  </connection>
  <connection id="25" name="Connection30" type="4" refreshedVersion="4" background="1" saveData="1">
    <webPr sourceData="1" parsePre="1" consecutive="1" xl2000="1" url="http://www.marketwatch.com/investing/stock/VOD?countrycode=False"/>
  </connection>
  <connection id="26" name="Connection31" type="4" refreshedVersion="4" background="1" saveData="1">
    <webPr sourceData="1" parsePre="1" consecutive="1" xl2000="1" url="http://www.marketwatch.com/investing/stock/VOD?countrycode=False"/>
  </connection>
  <connection id="27" name="Connection32" type="4" refreshedVersion="4" background="1" saveData="1">
    <webPr sourceData="1" parsePre="1" consecutive="1" xl2000="1" url="http://www.marketwatch.com/investing/stock/VOD?countrycode=UK"/>
  </connection>
  <connection id="28" name="Connection33" type="4" refreshedVersion="4" background="1" saveData="1">
    <webPr sourceData="1" parsePre="1" consecutive="1" xl2000="1" url="http://www.marketwatch.com/investing/stock/TIT?countrycode=IT"/>
  </connection>
  <connection id="29" name="Connection34" type="4" refreshedVersion="4" background="1" saveData="1">
    <webPr sourceData="1" parsePre="1" consecutive="1" xl2000="1" url="http://www.marketwatch.com/investing/stock/SAP?countrycode=DE&amp;iso=XSTU"/>
  </connection>
  <connection id="30" name="Connection35" type="4" refreshedVersion="4" background="1" saveData="1">
    <webPr sourceData="1" parsePre="1" consecutive="1" xl2000="1" url="http://www.marketwatch.com/investing/stock/VOD?countrycode=UK"/>
  </connection>
  <connection id="31" name="Connection36" type="4" refreshedVersion="4" background="1" saveData="1">
    <webPr sourceData="1" parsePre="1" consecutive="1" xl2000="1" url="http://www.marketwatch.com/investing/stock/GLE?countrycode=UK"/>
  </connection>
  <connection id="32" name="Connection37" type="4" refreshedVersion="4" background="1" saveData="1">
    <webPr sourceData="1" parsePre="1" consecutive="1" xl2000="1" url="http://www.marketwatch.com/investing/stock/TIT?countrycode=IT"/>
  </connection>
  <connection id="33" name="Connection38" type="4" refreshedVersion="4" background="1" saveData="1">
    <webPr sourceData="1" parsePre="1" consecutive="1" xl2000="1" url="http://www.marketwatch.com/investing/stock/VOD?countrycode=UK"/>
  </connection>
  <connection id="34" name="Connection39" type="4" refreshedVersion="4" background="1" saveData="1">
    <webPr sourceData="1" parsePre="1" consecutive="1" xl2000="1" url="http://www.marketwatch.com/investing/stock/GLE?countrycode=UK"/>
  </connection>
  <connection id="35" name="Connection4" type="4" refreshedVersion="4" background="1" saveData="1">
    <webPr sourceData="1" parsePre="1" consecutive="1" xl2000="1" url="http://finance.yahoo.com/q?s="/>
  </connection>
  <connection id="36" name="Connection40" type="4" refreshedVersion="4" background="1" saveData="1">
    <webPr sourceData="1" parsePre="1" consecutive="1" xl2000="1" url="http://www.marketwatch.com/investing/stock/VOD?countrycode=UK"/>
  </connection>
  <connection id="37" name="Connection41" type="4" refreshedVersion="4" background="1" saveData="1">
    <webPr sourceData="1" parsePre="1" consecutive="1" xl2000="1" url="http://www.marketwatch.com/investing/stock/GLE?countrycode=UK"/>
  </connection>
  <connection id="38" name="Connection42" type="4" refreshedVersion="4" background="1" saveData="1">
    <webPr sourceData="1" parsePre="1" consecutive="1" xl2000="1" url="http://www.marketwatch.com/investing/stock/TIT?countrycode=IT"/>
  </connection>
  <connection id="39" name="Connection5" type="4" refreshedVersion="4" background="1" saveData="1">
    <webPr sourceData="1" parsePre="1" consecutive="1" xl2000="1" url="http://finance.yahoo.com/q?s=VOD.L"/>
  </connection>
  <connection id="40" name="Connection6" type="4" refreshedVersion="4" background="1" saveData="1">
    <webPr sourceData="1" parsePre="1" consecutive="1" xl2000="1" url="http://finance.yahoo.com/q?s=GLE.PA"/>
  </connection>
  <connection id="41" name="Connection7" type="4" refreshedVersion="4" background="1" saveData="1">
    <webPr sourceData="1" parsePre="1" consecutive="1" xl2000="1" url="http://finance.yahoo.com/q?s=TIT.MA"/>
  </connection>
  <connection id="42" name="Connection8" type="4" refreshedVersion="4" background="1" saveData="1">
    <webPr sourceData="1" parsePre="1" consecutive="1" xl2000="1" url="http://finance.yahoo.com/q?s=VOD.L"/>
  </connection>
  <connection id="43" name="Connection9" type="4" refreshedVersion="4" background="1" saveData="1">
    <webPr sourceData="1" parsePre="1" consecutive="1" xl2000="1" url="http://finance.yahoo.com/q?s=GLE.PA"/>
  </connection>
</connections>
</file>

<file path=xl/sharedStrings.xml><?xml version="1.0" encoding="utf-8"?>
<sst xmlns="http://schemas.openxmlformats.org/spreadsheetml/2006/main" count="546" uniqueCount="418">
  <si>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</si>
  <si>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</si>
  <si>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</si>
  <si>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</si>
  <si>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</si>
  <si>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</si>
  <si>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</si>
  <si>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</si>
  <si>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</si>
  <si>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</si>
  <si>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</si>
  <si>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</si>
  <si>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</si>
  <si>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</si>
  <si>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</si>
  <si>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</si>
  <si>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</si>
  <si>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</si>
  <si>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</si>
  <si>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</si>
  <si>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VOD.L</t>
  </si>
  <si>
    <t>GLE.PA</t>
  </si>
  <si>
    <t>CS.PA</t>
  </si>
  <si>
    <t>TIT.MI</t>
  </si>
  <si>
    <t>FTSE 100</t>
  </si>
  <si>
    <t>TSCO.L</t>
  </si>
  <si>
    <t>REM.L</t>
  </si>
  <si>
    <t>LLOY.L</t>
  </si>
  <si>
    <t>KIBO.L</t>
  </si>
  <si>
    <t>VOD</t>
  </si>
  <si>
    <t>GLE</t>
  </si>
  <si>
    <t>TIT</t>
  </si>
  <si>
    <t>Country Code</t>
  </si>
  <si>
    <t>UK</t>
  </si>
  <si>
    <t>IT</t>
  </si>
  <si>
    <t>FTSE</t>
  </si>
  <si>
    <t>GR</t>
  </si>
  <si>
    <t>SAP</t>
  </si>
  <si>
    <t>DE&amp;iso=XSTU</t>
  </si>
  <si>
    <t>TSCO</t>
  </si>
  <si>
    <t>REM</t>
  </si>
  <si>
    <t>LLOY</t>
  </si>
  <si>
    <t>KIBO</t>
  </si>
  <si>
    <t>FR</t>
  </si>
  <si>
    <t>X</t>
  </si>
  <si>
    <t>Tweet</t>
  </si>
  <si>
    <t>Share this bulletin</t>
  </si>
  <si>
    <t>Get news bulletins by email</t>
  </si>
  <si>
    <t xml:space="preserve">Bulletin U.S. mortgage rates lower for first time in four weeks » </t>
  </si>
  <si>
    <t xml:space="preserve">Investor Alert </t>
  </si>
  <si>
    <t xml:space="preserve">New York Markets Close in: </t>
  </si>
  <si>
    <t>After Hours Preview Winners and Losers</t>
  </si>
  <si>
    <t>Home</t>
  </si>
  <si>
    <t>News Viewer</t>
  </si>
  <si>
    <t>Markets</t>
  </si>
  <si>
    <t>Investing</t>
  </si>
  <si>
    <t>Trading Deck</t>
  </si>
  <si>
    <t>Personal Finance</t>
  </si>
  <si>
    <t>Retirement</t>
  </si>
  <si>
    <t>Economy</t>
  </si>
  <si>
    <t>Real Estate</t>
  </si>
  <si>
    <t>Portfolio</t>
  </si>
  <si>
    <t>Watchlist</t>
  </si>
  <si>
    <t>Alerts</t>
  </si>
  <si>
    <t>Games</t>
  </si>
  <si>
    <t>SEARCH</t>
  </si>
  <si>
    <t>Stocks</t>
  </si>
  <si>
    <t>Funds</t>
  </si>
  <si>
    <t>ETFs</t>
  </si>
  <si>
    <t>Options</t>
  </si>
  <si>
    <t>Bonds</t>
  </si>
  <si>
    <t>Commodities</t>
  </si>
  <si>
    <t>Currencies</t>
  </si>
  <si>
    <t>Futures</t>
  </si>
  <si>
    <t>Hedge Funds/Insider Trades</t>
  </si>
  <si>
    <t>Tools</t>
  </si>
  <si>
    <t>Getting Started</t>
  </si>
  <si>
    <t>Premium Newsletters</t>
  </si>
  <si>
    <t>Hulbert Interactive</t>
  </si>
  <si>
    <t>Expand</t>
  </si>
  <si>
    <t>Keep Open</t>
  </si>
  <si>
    <t>Close</t>
  </si>
  <si>
    <t>GO</t>
  </si>
  <si>
    <t>Set Alerts</t>
  </si>
  <si>
    <t>Find a Broker</t>
  </si>
  <si>
    <t>Add to Watchlist</t>
  </si>
  <si>
    <t>Trade at E*TRADE</t>
  </si>
  <si>
    <t>Market Index</t>
  </si>
  <si>
    <t xml:space="preserve">Overview News Charts </t>
  </si>
  <si>
    <t>/marketstate/country/uk</t>
  </si>
  <si>
    <t>Change</t>
  </si>
  <si>
    <t>Volume</t>
  </si>
  <si>
    <t>Quotes are delayed by 20 min</t>
  </si>
  <si>
    <t>Previous close</t>
  </si>
  <si>
    <t>Day low</t>
  </si>
  <si>
    <t>Day high</t>
  </si>
  <si>
    <t>52 week low</t>
  </si>
  <si>
    <t>52 week high</t>
  </si>
  <si>
    <t>Market cap</t>
  </si>
  <si>
    <t>Average volume</t>
  </si>
  <si>
    <t>P/E ratio</t>
  </si>
  <si>
    <t>Rev. per Employee</t>
  </si>
  <si>
    <t>EPS</t>
  </si>
  <si>
    <t>Dividend</t>
  </si>
  <si>
    <t>Div yield</t>
  </si>
  <si>
    <t>Ex dividend date</t>
  </si>
  <si>
    <t>Compare:</t>
  </si>
  <si>
    <t>Indexes</t>
  </si>
  <si>
    <t>Dow(INDU) INDU</t>
  </si>
  <si>
    <t>Nasdaq (COMP) COMP</t>
  </si>
  <si>
    <t>S&amp;P 500 (SPX) SPX</t>
  </si>
  <si>
    <t>Global Dow (GDOW) GDOW</t>
  </si>
  <si>
    <t>1d</t>
  </si>
  <si>
    <t>5d</t>
  </si>
  <si>
    <t>3m</t>
  </si>
  <si>
    <t>6m</t>
  </si>
  <si>
    <t>1y</t>
  </si>
  <si>
    <t>3y</t>
  </si>
  <si>
    <t>5y</t>
  </si>
  <si>
    <t>Advertisement</t>
  </si>
  <si>
    <t>Top Latest</t>
  </si>
  <si>
    <t>- Carla Mozee</t>
  </si>
  <si>
    <t>- Sara Sjolin</t>
  </si>
  <si>
    <t>- Karen Friar</t>
  </si>
  <si>
    <t>21. Loading more headlines...</t>
  </si>
  <si>
    <t>- The Wall Street Journal Interactive Edition</t>
  </si>
  <si>
    <t>6:43 p.m. Feb. 22, 2015</t>
  </si>
  <si>
    <t xml:space="preserve">Rates » </t>
  </si>
  <si>
    <t>Mortgage Equity Savings Auto CREDIT CARDS</t>
  </si>
  <si>
    <t>30 yr fixed Jumbo</t>
  </si>
  <si>
    <t>30 yr fixed</t>
  </si>
  <si>
    <t>15 yr fixed</t>
  </si>
  <si>
    <t>10 yr fixed</t>
  </si>
  <si>
    <t>30 yr fixed refi</t>
  </si>
  <si>
    <t>15 yr fixed refi</t>
  </si>
  <si>
    <t>5/1 ARM</t>
  </si>
  <si>
    <t>5/1 ARM refi</t>
  </si>
  <si>
    <t>National averages from Bankrate.com</t>
  </si>
  <si>
    <t>$30K HELOC</t>
  </si>
  <si>
    <t>$50K HELOC</t>
  </si>
  <si>
    <t>$75K HELOC</t>
  </si>
  <si>
    <t>$100K HELOC</t>
  </si>
  <si>
    <t>$30K Home Equity Loan</t>
  </si>
  <si>
    <t>$50K Home Equity Loan</t>
  </si>
  <si>
    <t>$75K Home Equity Loan</t>
  </si>
  <si>
    <t>$100K Home Equity Loan</t>
  </si>
  <si>
    <t>5 yr CD</t>
  </si>
  <si>
    <t>2 yr CD</t>
  </si>
  <si>
    <t>1 yr CD</t>
  </si>
  <si>
    <t>MMA $10K+</t>
  </si>
  <si>
    <t>MMA $50K+</t>
  </si>
  <si>
    <t>MMA Savings</t>
  </si>
  <si>
    <t>MMA Savings Jumbo</t>
  </si>
  <si>
    <t>60 Mo Used Car</t>
  </si>
  <si>
    <t>48 Mo Used Car</t>
  </si>
  <si>
    <t>36 Mo Used Car</t>
  </si>
  <si>
    <t>72 Mo New Car</t>
  </si>
  <si>
    <t>60 Mo New Car</t>
  </si>
  <si>
    <t>48 Mo New Car</t>
  </si>
  <si>
    <t>60 Mo Auto Refi</t>
  </si>
  <si>
    <t>36 Mo Auto Refi</t>
  </si>
  <si>
    <t>You Donâ€™t Need Another Credit Card, You Need A Better One.</t>
  </si>
  <si>
    <t>Avg. APR</t>
  </si>
  <si>
    <t>Last Week</t>
  </si>
  <si>
    <t>6 Months</t>
  </si>
  <si>
    <t>Low Interest</t>
  </si>
  <si>
    <t>Business</t>
  </si>
  <si>
    <t>Student</t>
  </si>
  <si>
    <t>Balance Transfer</t>
  </si>
  <si>
    <t>Reward</t>
  </si>
  <si>
    <t>Airline</t>
  </si>
  <si>
    <t>Cash Back</t>
  </si>
  <si>
    <t>Instant Approval</t>
  </si>
  <si>
    <t>Bad Credit</t>
  </si>
  <si>
    <t>Source:CreditCards.com</t>
  </si>
  <si>
    <t xml:space="preserve">Log In </t>
  </si>
  <si>
    <t>/marketstate/country/us</t>
  </si>
  <si>
    <t>New York</t>
  </si>
  <si>
    <t>Open</t>
  </si>
  <si>
    <t>London</t>
  </si>
  <si>
    <t>/marketstate/country/jp</t>
  </si>
  <si>
    <t>Tokyo</t>
  </si>
  <si>
    <t>Closed</t>
  </si>
  <si>
    <t xml:space="preserve">View All </t>
  </si>
  <si>
    <t>Latest News</t>
  </si>
  <si>
    <t>/news/latest</t>
  </si>
  <si>
    <t>BREAKING</t>
  </si>
  <si>
    <t>Factory orders fall in January for sixth month</t>
  </si>
  <si>
    <t>Mortgage rates fall for first time in four weeks, Freddie Mac says</t>
  </si>
  <si>
    <t>WTI crude oil turns negative; Brent still shows gain</t>
  </si>
  <si>
    <t xml:space="preserve">Stoxx Europe 600 up 0.7% as Draghi press conference ends </t>
  </si>
  <si>
    <t>U.S. stocks open higher as ECB plans to launch QE</t>
  </si>
  <si>
    <t>7. 9:33a</t>
  </si>
  <si>
    <t>Mobileye shares rise 8.3%</t>
  </si>
  <si>
    <t>Draghi: The ECB won't buy bonds with yields lower than deposit rate</t>
  </si>
  <si>
    <t>9. 9:32a</t>
  </si>
  <si>
    <t>AbbVie shares fall 4.9%</t>
  </si>
  <si>
    <t>10. 9:32a</t>
  </si>
  <si>
    <t>Dow industrials rise 0.1%, Nasdaq up 0.3%</t>
  </si>
  <si>
    <t>11. 9:32a</t>
  </si>
  <si>
    <t>Joy Global shares drop 7.1%</t>
  </si>
  <si>
    <t>Kroger profit up 23%, outlook beats estimates</t>
  </si>
  <si>
    <t>13. 9:31a</t>
  </si>
  <si>
    <t>U.S. stocks open slightly higher; S&amp;P 500 gains 0.1%</t>
  </si>
  <si>
    <t>14. 9:31a</t>
  </si>
  <si>
    <t>Mallinckrodt shares rise 3.9%</t>
  </si>
  <si>
    <t>Kroger shares gain 5.4%</t>
  </si>
  <si>
    <t>16. 9:30a</t>
  </si>
  <si>
    <t>For McDonaldâ€™s a minor menu change takes planning</t>
  </si>
  <si>
    <t>Mark Cuban: This tech bubble is â€˜far worseâ€™ than back in 2000</t>
  </si>
  <si>
    <t xml:space="preserve">Euro hits 72.27 pence, lowest level since December 2007 </t>
  </si>
  <si>
    <t>20. 8:11a</t>
  </si>
  <si>
    <t>Live blog recap: ECB to begin government bond purchases on March 9</t>
  </si>
  <si>
    <t>dow</t>
  </si>
  <si>
    <t>/quotes/zigman/627449/realtime</t>
  </si>
  <si>
    <t>nasdaq</t>
  </si>
  <si>
    <t>/quotes/zigman/12633936/realtime</t>
  </si>
  <si>
    <t>s&amp;p 500</t>
  </si>
  <si>
    <t>/quotes/zigman/3870025/realtime</t>
  </si>
  <si>
    <t>Kiosk</t>
  </si>
  <si>
    <t>Strength in Numbers</t>
  </si>
  <si>
    <t>The stupidest investment ideas of 2013</t>
  </si>
  <si>
    <t>Jeff Reeves</t>
  </si>
  <si>
    <t xml:space="preserve">The only 5 investments you need </t>
  </si>
  <si>
    <t>One small group of ETFs offer investors a good opportunity right now.</t>
  </si>
  <si>
    <t xml:space="preserve">â€¢ Apple's hot-air-propelled car </t>
  </si>
  <si>
    <t>/conga/kiosk/commentaryreeves.html 336534</t>
  </si>
  <si>
    <t>Political Capital</t>
  </si>
  <si>
    <t xml:space="preserve">Â </t>
  </si>
  <si>
    <t>Darrell Delamaide</t>
  </si>
  <si>
    <t xml:space="preserve">Which Jeb, which Hillary show up </t>
  </si>
  <si>
    <t>These days, carefully crafted personas run for the White House, not real people.</t>
  </si>
  <si>
    <t xml:space="preserve">â€¢ Clinton plays the gender card </t>
  </si>
  <si>
    <t>/conga/kiosk/commentarydelamaide.html 336678</t>
  </si>
  <si>
    <t>The Economist's Corner</t>
  </si>
  <si>
    <t xml:space="preserve">Irwin Kellner:Donâ€™t dump your bonds just yetÂ </t>
  </si>
  <si>
    <t>Irwin Kellner</t>
  </si>
  <si>
    <t xml:space="preserve">Winter's economic toll </t>
  </si>
  <si>
    <t>The tough weather could shave as much as 1 percentage point off first-quarter growth.</t>
  </si>
  <si>
    <t xml:space="preserve">â€¢ The Fed talks too much </t>
  </si>
  <si>
    <t>/conga/kiosk/commentarykellner.html 336531</t>
  </si>
  <si>
    <t>No-Nonsense Investing</t>
  </si>
  <si>
    <t>Howard Gold</t>
  </si>
  <si>
    <t xml:space="preserve">Innovation sparks Nasdaq this time </t>
  </si>
  <si>
    <t>Apple, Amazon, Priceline and Starbucks have added $1 trillion in value to the index since 2000.</t>
  </si>
  <si>
    <t xml:space="preserve">â€¢ Steering clear of risk </t>
  </si>
  <si>
    <t>/conga/kiosk/commentarygold.html 336533</t>
  </si>
  <si>
    <t>The RetireMentors</t>
  </si>
  <si>
    <t>Brian Vnak</t>
  </si>
  <si>
    <t xml:space="preserve">The hidden costs of moving </t>
  </si>
  <si>
    <t>Relocating in retirement to a sunny state where taxes are low has probably crossed your mind.</t>
  </si>
  <si>
    <t>â€¢ More from the RetireMentors Â»</t>
  </si>
  <si>
    <t>/conga/kiosk/retirementors2.html 336679</t>
  </si>
  <si>
    <t>MarketWatch.com</t>
  </si>
  <si>
    <t>Site Index</t>
  </si>
  <si>
    <t>Topics</t>
  </si>
  <si>
    <t>Help</t>
  </si>
  <si>
    <t>Feedback</t>
  </si>
  <si>
    <t>Newsroom Roster</t>
  </si>
  <si>
    <t>Media Archive</t>
  </si>
  <si>
    <t>Premium Products</t>
  </si>
  <si>
    <t>Mobile</t>
  </si>
  <si>
    <t>Company Info</t>
  </si>
  <si>
    <t>Code of Conduct</t>
  </si>
  <si>
    <t>Corrections</t>
  </si>
  <si>
    <t>Advertising Media Kit</t>
  </si>
  <si>
    <t>Advertise Locally</t>
  </si>
  <si>
    <t>License our Content</t>
  </si>
  <si>
    <t>Broker Center</t>
  </si>
  <si>
    <t>Your Ad Choices</t>
  </si>
  <si>
    <t>MarketWatch on Facebook</t>
  </si>
  <si>
    <t>MarketWatch on Twitter</t>
  </si>
  <si>
    <t>RSS</t>
  </si>
  <si>
    <t>Podcasts</t>
  </si>
  <si>
    <t>WSJ.com</t>
  </si>
  <si>
    <t>Barron's Online</t>
  </si>
  <si>
    <t>BigCharts</t>
  </si>
  <si>
    <t>Virtual Stock Exchange</t>
  </si>
  <si>
    <t>Financial News Online</t>
  </si>
  <si>
    <t>WSJ.com Small Business</t>
  </si>
  <si>
    <t>realtor.com</t>
  </si>
  <si>
    <t>Copyright © 2015 MarketWatch, Inc. All rights reserved.</t>
  </si>
  <si>
    <t>By using this site, you agree to the Terms of Service, Privacy Policy, and Cookie Policy.</t>
  </si>
  <si>
    <t>Intraday Data provided by SIX Financial Information and subject to terms of use. Historical and current end-of-day data provided by SIX Financial Information. Intraday data delayed per exchange requirements. S&amp;P/Dow Jones Indices (SM) from Dow Jones &amp; Company, Inc. All quotes are in local exchange time. Real time last sale data provided by NASDAQ. More information on NASDAQ traded symbols and their current financial status. Intraday data delayed 15 minutes for Nasdaq, and 20 minutes for other exchanges. S&amp;P/Dow Jones Indices (SM) from Dow Jones &amp; Company, Inc. SEHK intraday data is provided by SIX Financial Information and is at least 60-minutes delayed. All quotes are in local exchange time.</t>
  </si>
  <si>
    <t>MarketWatch Top Stories</t>
  </si>
  <si>
    <t>Link to MarketWatch's Slice. 15</t>
  </si>
  <si>
    <t>Email address</t>
  </si>
  <si>
    <t>Password</t>
  </si>
  <si>
    <t>Remember me</t>
  </si>
  <si>
    <t>Forgot password?</t>
  </si>
  <si>
    <t>The action you requested requires a MarketWatch Community display name.</t>
  </si>
  <si>
    <t>Log In</t>
  </si>
  <si>
    <t>Community</t>
  </si>
  <si>
    <t>Get your FREE membership now Â»</t>
  </si>
  <si>
    <t>MarketWatch Community is a free service that lets you discover, organize and share MarketWatch stories with other readers.</t>
  </si>
  <si>
    <t>Learn More Â»</t>
  </si>
  <si>
    <t>Telecom Italia S.p.A.</t>
  </si>
  <si>
    <t>MCI: IT:TIT</t>
  </si>
  <si>
    <t>/quotes/zigman/328534/delayed</t>
  </si>
  <si>
    <t>â‚¬</t>
  </si>
  <si>
    <t>â‚¬ 1.10</t>
  </si>
  <si>
    <t>â‚¬ 1.09</t>
  </si>
  <si>
    <t>â‚¬1.09</t>
  </si>
  <si>
    <t>â‚¬1.10</t>
  </si>
  <si>
    <t>Open: 1.10</t>
  </si>
  <si>
    <t>â‚¬0.74</t>
  </si>
  <si>
    <t>â‚¬1.11</t>
  </si>
  <si>
    <t>â‚¬20.04B</t>
  </si>
  <si>
    <t>106.44M</t>
  </si>
  <si>
    <t>â‚¬289,380</t>
  </si>
  <si>
    <t>N/A</t>
  </si>
  <si>
    <t>/news/marketwatch/company/it/tit</t>
  </si>
  <si>
    <t>MarketWatch News on TIT</t>
  </si>
  <si>
    <t>1. Orange considers tie-up with Telecom Italia</t>
  </si>
  <si>
    <t>4:31 p.m. March 1, 2015</t>
  </si>
  <si>
    <t>- Sam Schechner</t>
  </si>
  <si>
    <t>2. European stocks retreat deeper into correction territory</t>
  </si>
  <si>
    <t>11:31 a.m. Oct. 16, 2014</t>
  </si>
  <si>
    <t>3. Telecom Italia climbs 3.5% on Trujillo-bid talks</t>
  </si>
  <si>
    <t>6:09 a.m. Sept. 25, 2014</t>
  </si>
  <si>
    <t>4. Telefonica to buy GVT from Vivendi in $9.3 billion deal</t>
  </si>
  <si>
    <t>4:54 a.m. Sept. 19, 2014</t>
  </si>
  <si>
    <t>5. Iliad, Telecom Italia among key European movers</t>
  </si>
  <si>
    <t>11:19 a.m. Aug. 6, 2014</t>
  </si>
  <si>
    <t xml:space="preserve">6. European stocks break losing streak; Vivendi gains </t>
  </si>
  <si>
    <t>11:37 a.m. Aug. 5, 2014</t>
  </si>
  <si>
    <t xml:space="preserve">7. European stocks tilt lower; Glaxo falls on probe news </t>
  </si>
  <si>
    <t>11:22 a.m. May 28, 2014</t>
  </si>
  <si>
    <t>8. AstraZeneca weighs on Stoxx 600 after rebuffing Pfizer</t>
  </si>
  <si>
    <t>11:20 a.m. May 19, 2014</t>
  </si>
  <si>
    <t>9. European stocks rise on BP, Nokia earnings</t>
  </si>
  <si>
    <t>12:26 p.m. Oct. 29, 2013</t>
  </si>
  <si>
    <t>10. Europe stocks pressured by U.S. political worries</t>
  </si>
  <si>
    <t>11:04 a.m. Oct. 9, 2013</t>
  </si>
  <si>
    <t>- Barbara Kollmeyer</t>
  </si>
  <si>
    <t>11. U.S. woes hit European stocks on shutdown Day 8</t>
  </si>
  <si>
    <t>11:01 a.m. Oct. 8, 2013</t>
  </si>
  <si>
    <t>12. European stocks rise, shrug off U.S. shutdown</t>
  </si>
  <si>
    <t>11:04 a.m. Oct. 1, 2013</t>
  </si>
  <si>
    <t>13. U.S. data pull Europe stocks from intraday high</t>
  </si>
  <si>
    <t>11:20 a.m. Sept. 24, 2013</t>
  </si>
  <si>
    <t>14. Telefonica to take control of Italyâ€™s Telco</t>
  </si>
  <si>
    <t>4:03 a.m. Sept. 24, 2013</t>
  </si>
  <si>
    <t>- Christopher Emsden</t>
  </si>
  <si>
    <t>15. European stocks hold gains after ECB, BOE news</t>
  </si>
  <si>
    <t>10:57 a.m. Sept. 5, 2013</t>
  </si>
  <si>
    <t>16. European stocks climb after PMIs, Vodafone deal</t>
  </si>
  <si>
    <t>11:33 a.m. Sept. 2, 2013</t>
  </si>
  <si>
    <t>17. Europe stocks erase monthly gain on Syria, data</t>
  </si>
  <si>
    <t>11:14 a.m. Aug. 30, 2013</t>
  </si>
  <si>
    <t>18. HSBC leads FTSE 100 to second day of losses</t>
  </si>
  <si>
    <t>11:29 a.m. Aug. 5, 2013</t>
  </si>
  <si>
    <t>19. Vodafone sues Telecom Italia for 1 billion euros</t>
  </si>
  <si>
    <t>2:40 a.m. Aug. 5, 2013</t>
  </si>
  <si>
    <t>20. Europe under pressure after German ZEW data</t>
  </si>
  <si>
    <t>11:05 a.m. July 16, 2013</t>
  </si>
  <si>
    <t>/news/nonmarketwatch/company/it/tit</t>
  </si>
  <si>
    <t>Other News on TIT</t>
  </si>
  <si>
    <t>1. Orange Considers Potential Tie-Up With Telecom Italia</t>
  </si>
  <si>
    <t>11:33 a.m. March 1, 2015</t>
  </si>
  <si>
    <t>2. Telecom Italiaâ€™s Call Home Suffers Debt Interference</t>
  </si>
  <si>
    <t>3. Telecom Italia CEO Rules Out Oi Bid</t>
  </si>
  <si>
    <t>11:20 a.m. Feb. 20, 2015</t>
  </si>
  <si>
    <t xml:space="preserve">4. Brazilâ€™s Oi Sees â‚¬6 Billion Gain From Sale </t>
  </si>
  <si>
    <t>10:51 a.m. Jan. 26, 2015</t>
  </si>
  <si>
    <t>5. Oi CEO Says Company Better Positioned for Brazilian Consolidation</t>
  </si>
  <si>
    <t>9:22 a.m. Dec. 15, 2014</t>
  </si>
  <si>
    <t>6. Intesa Sanpaolo Chief Eyes Acquisitions</t>
  </si>
  <si>
    <t>10:14 a.m. Nov. 28, 2014</t>
  </si>
  <si>
    <t>7. Telecom Italia to Explore Oi SA Deal in Brazil</t>
  </si>
  <si>
    <t>6:19 p.m. Nov. 21, 2014</t>
  </si>
  <si>
    <t xml:space="preserve">8. CTT Watching PT Portugal Sale Process, Weighs Options </t>
  </si>
  <si>
    <t>12:37 p.m. Nov. 13, 2014</t>
  </si>
  <si>
    <t>9. Telecom Italia Hurt by Recession</t>
  </si>
  <si>
    <t>5:26 a.m. Nov. 7, 2014</t>
  </si>
  <si>
    <t>10. Oi, TelefÃ³nica, AmÃ©rica MÃ³vil Advance on Plans to Buy TIM in Brazil</t>
  </si>
  <si>
    <t>6:45 a.m. Oct. 31, 2014</t>
  </si>
  <si>
    <t>11. Telecom Italia CEO: Brazil Unit Not for Sale</t>
  </si>
  <si>
    <t>6:28 p.m. Oct. 14, 2014</t>
  </si>
  <si>
    <t>12. Minister Sees Brazil Telecoms Sector Consolidating</t>
  </si>
  <si>
    <t>3:53 p.m. Oct. 14, 2014</t>
  </si>
  <si>
    <t>13. Brazilian Telecom Oi Weighs Asset Sale</t>
  </si>
  <si>
    <t>12:30 p.m. Oct. 10, 2014</t>
  </si>
  <si>
    <t>14. Alticeâ€™s Portugal Deal Could Provide Oiâ€™s Brazilian Solution</t>
  </si>
  <si>
    <t>12:08 p.m. Oct. 8, 2014</t>
  </si>
  <si>
    <t>15. Brazilian Telecom Firm Oi Sits Out Airwave Auction</t>
  </si>
  <si>
    <t>1:56 p.m. Sept. 23, 2014</t>
  </si>
  <si>
    <t>16. Vivendi to Sell GVT to TelefÃ³nica</t>
  </si>
  <si>
    <t>3:59 a.m. Sept. 19, 2014</t>
  </si>
  <si>
    <t>17. Mediobanca Returns to Profit</t>
  </si>
  <si>
    <t>6:04 a.m. Sept. 17, 2014</t>
  </si>
  <si>
    <t xml:space="preserve">18. Mexico's AmÃ©rica MÃ³vil Interested in Joint Bid for TIM With Brazil's Oi </t>
  </si>
  <si>
    <t>3:39 p.m. Sept. 8, 2014</t>
  </si>
  <si>
    <t>19. TelefÃ³nica Eyes Deal by Mid-2015</t>
  </si>
  <si>
    <t>2:06 a.m. Aug. 29, 2014</t>
  </si>
  <si>
    <t>20. Brazilian Flirtation Pushes Telecom Behemoths Toward Divorce</t>
  </si>
  <si>
    <t>3:07 p.m. Aug. 28, 2014</t>
  </si>
  <si>
    <t>/news/pressrelease/company/it/tit</t>
  </si>
  <si>
    <t>Press Releases on TIT</t>
  </si>
  <si>
    <t>No News currently available for TIT</t>
  </si>
  <si>
    <t xml:space="preserve">Bulletin U.S. factory orders decline for a sixth straight month » </t>
  </si>
  <si>
    <t>10:10 AM EST</t>
  </si>
  <si>
    <t>1. 10:08a</t>
  </si>
  <si>
    <t>Kroger gains on higher profit; AbbVie slides on merger news</t>
  </si>
  <si>
    <t>2. 10:06a</t>
  </si>
  <si>
    <t>3. 10:03a</t>
  </si>
  <si>
    <t>4. 10:00a</t>
  </si>
  <si>
    <t>5. 9:42a</t>
  </si>
  <si>
    <t>6. 9:34a</t>
  </si>
  <si>
    <t>8. 9:33a</t>
  </si>
  <si>
    <t>12. 9:32a</t>
  </si>
  <si>
    <t>15. 9:31a</t>
  </si>
  <si>
    <t>17. 9:30a</t>
  </si>
  <si>
    <t>18. 9:28a</t>
  </si>
  <si>
    <t>19. 9:21a</t>
  </si>
  <si>
    <t>Finra program hasnâ€™t barred any brokers who worked at â€˜Wolf of Wall Streetâ€™ firm</t>
  </si>
  <si>
    <t>Volume 65.21m</t>
  </si>
  <si>
    <t>Mar 5, 2015, 3:55 p.m.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</si>
</sst>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_);[Red]\(&quot;$&quot;#,##0\)"/>
    <numFmt numFmtId="8" formatCode="&quot;$&quot;#,##0.00_);[Red]\(&quot;$&quot;#,##0.00\)"/>
  </numFmts>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8" fontId="0" fillId="0" borderId="0" xfId="0" applyNumberFormat="1"/>
    <xf numFmtId="6" fontId="0" fillId="0" borderId="0" xfId="0" applyNumberFormat="1"/>
    <xf numFmtId="10" fontId="0" fillId="0" borderId="0" xfId="0" applyNumberFormat="1"/>
    <xf numFmtId="14" fontId="0" fillId="0" borderId="0" xfId="0" applyNumberForma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TIT?countrycode=IT_1" connectionId="3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GLE?countrycode=UK_1" connectionId="3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VOD?countrycode=UK_2" connectionId="3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GLE?countrycode=UK" connectionId="3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VOD?countrycode=UK_1" connectionId="3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TIT?countrycode=IT" connectionId="3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stock/GLE?countrycode=UK" connectionId="3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VOD?countrycode=UK" connectionId="30"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TIT.MI_1" connectionId="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 connectionId="39"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SAP.DE" connectionId="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 connectionId="35"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CS.PA_1" connectionId="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IT.MA" connectionId="4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stock/VOD?countrycode=UK" connectionId="2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S.PA_3" connectionId="2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SAP.DE_1" connectionId="1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VOD.L_4" connectionId="1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 connectionId="40"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2" connectionId="4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OD.L_6" connectionId="2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VOD?countrycode=False" connectionId="2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VOD.L" connectionId="24"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GLE.PA_1" connectionId="4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stock/VOD?countrycode=False" connectionId="25"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VOD.L_5" connectionId="1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CS.PA_2" connectionId="1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GLE.PA_3" connectionId="1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stock/SAP?countrycode=DE&amp;iso=XSTU" connectionId="29"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CS.PA" connectionId="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VOD.L_3" connectionId="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GLE.PA_4" connectionId="1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IBM_2" connectionId="1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stock/VOD" connectionId="2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AP.DE_3" connectionId="2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SAP.DE_2" connectionId="1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stock/TIT?countrycode=IT"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IT.MI_3" connectionId="1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GLE.PA_2"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TIT.MI_2" connectionId="1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9" Type="http://schemas.openxmlformats.org/officeDocument/2006/relationships/queryTable" Target="../queryTables/queryTable38.xml"/><Relationship Id="rId3" Type="http://schemas.openxmlformats.org/officeDocument/2006/relationships/queryTable" Target="../queryTables/queryTable2.xml"/><Relationship Id="rId21" Type="http://schemas.openxmlformats.org/officeDocument/2006/relationships/queryTable" Target="../queryTables/queryTable20.xml"/><Relationship Id="rId34" Type="http://schemas.openxmlformats.org/officeDocument/2006/relationships/queryTable" Target="../queryTables/queryTable33.xml"/><Relationship Id="rId42" Type="http://schemas.openxmlformats.org/officeDocument/2006/relationships/queryTable" Target="../queryTables/queryTable41.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33" Type="http://schemas.openxmlformats.org/officeDocument/2006/relationships/queryTable" Target="../queryTables/queryTable32.xml"/><Relationship Id="rId38" Type="http://schemas.openxmlformats.org/officeDocument/2006/relationships/queryTable" Target="../queryTables/queryTable37.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41" Type="http://schemas.openxmlformats.org/officeDocument/2006/relationships/queryTable" Target="../queryTables/queryTable40.xml"/><Relationship Id="rId1" Type="http://schemas.openxmlformats.org/officeDocument/2006/relationships/printerSettings" Target="../printerSettings/printerSettings1.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32" Type="http://schemas.openxmlformats.org/officeDocument/2006/relationships/queryTable" Target="../queryTables/queryTable31.xml"/><Relationship Id="rId37" Type="http://schemas.openxmlformats.org/officeDocument/2006/relationships/queryTable" Target="../queryTables/queryTable36.xml"/><Relationship Id="rId40" Type="http://schemas.openxmlformats.org/officeDocument/2006/relationships/queryTable" Target="../queryTables/queryTable39.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36" Type="http://schemas.openxmlformats.org/officeDocument/2006/relationships/queryTable" Target="../queryTables/queryTable35.xml"/><Relationship Id="rId10" Type="http://schemas.openxmlformats.org/officeDocument/2006/relationships/queryTable" Target="../queryTables/queryTable9.xml"/><Relationship Id="rId19" Type="http://schemas.openxmlformats.org/officeDocument/2006/relationships/queryTable" Target="../queryTables/queryTable18.xml"/><Relationship Id="rId31" Type="http://schemas.openxmlformats.org/officeDocument/2006/relationships/queryTable" Target="../queryTables/queryTable30.xml"/><Relationship Id="rId44" Type="http://schemas.openxmlformats.org/officeDocument/2006/relationships/queryTable" Target="../queryTables/queryTable43.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 Id="rId30" Type="http://schemas.openxmlformats.org/officeDocument/2006/relationships/queryTable" Target="../queryTables/queryTable29.xml"/><Relationship Id="rId35" Type="http://schemas.openxmlformats.org/officeDocument/2006/relationships/queryTable" Target="../queryTables/queryTable34.xml"/><Relationship Id="rId43" Type="http://schemas.openxmlformats.org/officeDocument/2006/relationships/queryTable" Target="../queryTables/queryTable4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D806"/>
  <sheetViews>
    <sheetView workbookViewId="0">
      <selection activeCell="A6" sqref="A6"/>
    </sheetView>
  </sheetViews>
  <sheetFormatPr defaultRowHeight="15" x14ac:dyDescent="0.25"/>
  <cols>
    <col min="1" max="1" width="15.7109375" customWidth="1"/>
    <col min="2" max="2" width="8.85546875" customWidth="1"/>
    <col min="3" max="3" width="10" customWidth="1"/>
  </cols>
  <sheetData>
    <row r="1" spans="1:1" x14ac:dyDescent="0.25">
      <c r="A1" t="s">
        <v>44</v>
      </c>
    </row>
    <row r="2" spans="1:1" x14ac:dyDescent="0.25">
      <c r="A2" t="s">
        <v>45</v>
      </c>
    </row>
    <row r="3" spans="1:1" x14ac:dyDescent="0.25">
      <c r="A3" t="s">
        <v>46</v>
      </c>
    </row>
    <row r="4" spans="1:1" x14ac:dyDescent="0.25">
      <c r="A4" t="s">
        <v>47</v>
      </c>
    </row>
    <row r="5" spans="1:1" x14ac:dyDescent="0.25">
      <c r="A5" t="s">
        <v>400</v>
      </c>
    </row>
    <row r="6" spans="1:1" x14ac:dyDescent="0.25">
      <c r="A6" t="s">
        <v>49</v>
      </c>
    </row>
    <row r="8" spans="1:1" x14ac:dyDescent="0.25">
      <c r="A8" t="s">
        <v>50</v>
      </c>
    </row>
    <row r="10" spans="1:1" x14ac:dyDescent="0.25">
      <c r="A10" t="s">
        <v>51</v>
      </c>
    </row>
    <row r="12" spans="1:1" x14ac:dyDescent="0.25">
      <c r="A12" t="s">
        <v>44</v>
      </c>
    </row>
    <row r="13" spans="1:1" x14ac:dyDescent="0.25">
      <c r="A13" t="s">
        <v>45</v>
      </c>
    </row>
    <row r="14" spans="1:1" x14ac:dyDescent="0.25">
      <c r="A14" t="s">
        <v>46</v>
      </c>
    </row>
    <row r="15" spans="1:1" x14ac:dyDescent="0.25">
      <c r="A15" t="s">
        <v>47</v>
      </c>
    </row>
    <row r="16" spans="1:1" x14ac:dyDescent="0.25">
      <c r="A16" t="s">
        <v>48</v>
      </c>
    </row>
    <row r="17" spans="1:1" x14ac:dyDescent="0.25">
      <c r="A17" t="s">
        <v>52</v>
      </c>
    </row>
    <row r="18" spans="1:1" x14ac:dyDescent="0.25">
      <c r="A18" t="s">
        <v>53</v>
      </c>
    </row>
    <row r="19" spans="1:1" x14ac:dyDescent="0.25">
      <c r="A19" t="s">
        <v>54</v>
      </c>
    </row>
    <row r="20" spans="1:1" x14ac:dyDescent="0.25">
      <c r="A20" t="s">
        <v>55</v>
      </c>
    </row>
    <row r="21" spans="1:1" x14ac:dyDescent="0.25">
      <c r="A21" t="s">
        <v>56</v>
      </c>
    </row>
    <row r="22" spans="1:1" x14ac:dyDescent="0.25">
      <c r="A22" t="s">
        <v>57</v>
      </c>
    </row>
    <row r="23" spans="1:1" x14ac:dyDescent="0.25">
      <c r="A23" t="s">
        <v>58</v>
      </c>
    </row>
    <row r="24" spans="1:1" x14ac:dyDescent="0.25">
      <c r="A24" t="s">
        <v>59</v>
      </c>
    </row>
    <row r="25" spans="1:1" x14ac:dyDescent="0.25">
      <c r="A25" t="s">
        <v>60</v>
      </c>
    </row>
    <row r="26" spans="1:1" x14ac:dyDescent="0.25">
      <c r="A26" t="s">
        <v>61</v>
      </c>
    </row>
    <row r="27" spans="1:1" x14ac:dyDescent="0.25">
      <c r="A27" t="s">
        <v>62</v>
      </c>
    </row>
    <row r="28" spans="1:1" x14ac:dyDescent="0.25">
      <c r="A28" t="s">
        <v>63</v>
      </c>
    </row>
    <row r="29" spans="1:1" x14ac:dyDescent="0.25">
      <c r="A29" t="s">
        <v>64</v>
      </c>
    </row>
    <row r="30" spans="1:1" x14ac:dyDescent="0.25">
      <c r="A30" t="s">
        <v>65</v>
      </c>
    </row>
    <row r="31" spans="1:1" x14ac:dyDescent="0.25">
      <c r="A31" t="s">
        <v>66</v>
      </c>
    </row>
    <row r="32" spans="1:1" x14ac:dyDescent="0.25">
      <c r="A32" t="s">
        <v>67</v>
      </c>
    </row>
    <row r="33" spans="1:1" x14ac:dyDescent="0.25">
      <c r="A33" t="s">
        <v>68</v>
      </c>
    </row>
    <row r="34" spans="1:1" x14ac:dyDescent="0.25">
      <c r="A34" t="s">
        <v>69</v>
      </c>
    </row>
    <row r="35" spans="1:1" x14ac:dyDescent="0.25">
      <c r="A35" t="s">
        <v>70</v>
      </c>
    </row>
    <row r="36" spans="1:1" x14ac:dyDescent="0.25">
      <c r="A36" t="s">
        <v>71</v>
      </c>
    </row>
    <row r="37" spans="1:1" x14ac:dyDescent="0.25">
      <c r="A37" t="s">
        <v>72</v>
      </c>
    </row>
    <row r="38" spans="1:1" x14ac:dyDescent="0.25">
      <c r="A38" t="s">
        <v>73</v>
      </c>
    </row>
    <row r="39" spans="1:1" x14ac:dyDescent="0.25">
      <c r="A39" t="s">
        <v>74</v>
      </c>
    </row>
    <row r="40" spans="1:1" x14ac:dyDescent="0.25">
      <c r="A40" t="s">
        <v>75</v>
      </c>
    </row>
    <row r="41" spans="1:1" x14ac:dyDescent="0.25">
      <c r="A41" t="s">
        <v>76</v>
      </c>
    </row>
    <row r="42" spans="1:1" x14ac:dyDescent="0.25">
      <c r="A42" t="s">
        <v>77</v>
      </c>
    </row>
    <row r="43" spans="1:1" x14ac:dyDescent="0.25">
      <c r="A43" t="s">
        <v>78</v>
      </c>
    </row>
    <row r="44" spans="1:1" x14ac:dyDescent="0.25">
      <c r="A44">
        <v>0</v>
      </c>
    </row>
    <row r="45" spans="1:1" x14ac:dyDescent="0.25">
      <c r="A45" t="s">
        <v>79</v>
      </c>
    </row>
    <row r="46" spans="1:1" x14ac:dyDescent="0.25">
      <c r="A46" t="s">
        <v>80</v>
      </c>
    </row>
    <row r="47" spans="1:1" x14ac:dyDescent="0.25">
      <c r="A47" t="s">
        <v>81</v>
      </c>
    </row>
    <row r="48" spans="1:1" x14ac:dyDescent="0.25">
      <c r="A48">
        <v>0</v>
      </c>
    </row>
    <row r="49" spans="1:1" x14ac:dyDescent="0.25">
      <c r="A49" t="s">
        <v>79</v>
      </c>
    </row>
    <row r="50" spans="1:1" x14ac:dyDescent="0.25">
      <c r="A50" t="s">
        <v>80</v>
      </c>
    </row>
    <row r="51" spans="1:1" x14ac:dyDescent="0.25">
      <c r="A51" t="s">
        <v>81</v>
      </c>
    </row>
    <row r="52" spans="1:1" x14ac:dyDescent="0.25">
      <c r="A52">
        <v>0</v>
      </c>
    </row>
    <row r="53" spans="1:1" x14ac:dyDescent="0.25">
      <c r="A53" t="s">
        <v>79</v>
      </c>
    </row>
    <row r="54" spans="1:1" x14ac:dyDescent="0.25">
      <c r="A54" t="s">
        <v>80</v>
      </c>
    </row>
    <row r="55" spans="1:1" x14ac:dyDescent="0.25">
      <c r="A55" t="s">
        <v>81</v>
      </c>
    </row>
    <row r="56" spans="1:1" x14ac:dyDescent="0.25">
      <c r="A56">
        <v>0</v>
      </c>
    </row>
    <row r="57" spans="1:1" x14ac:dyDescent="0.25">
      <c r="A57" t="s">
        <v>79</v>
      </c>
    </row>
    <row r="58" spans="1:1" x14ac:dyDescent="0.25">
      <c r="A58" t="s">
        <v>80</v>
      </c>
    </row>
    <row r="59" spans="1:1" x14ac:dyDescent="0.25">
      <c r="A59" t="s">
        <v>81</v>
      </c>
    </row>
    <row r="60" spans="1:1" x14ac:dyDescent="0.25">
      <c r="A60">
        <v>0</v>
      </c>
    </row>
    <row r="61" spans="1:1" x14ac:dyDescent="0.25">
      <c r="A61" t="s">
        <v>79</v>
      </c>
    </row>
    <row r="62" spans="1:1" x14ac:dyDescent="0.25">
      <c r="A62" t="s">
        <v>80</v>
      </c>
    </row>
    <row r="63" spans="1:1" x14ac:dyDescent="0.25">
      <c r="A63" t="s">
        <v>81</v>
      </c>
    </row>
    <row r="64" spans="1:1" x14ac:dyDescent="0.25">
      <c r="A64">
        <v>0</v>
      </c>
    </row>
    <row r="65" spans="1:1" x14ac:dyDescent="0.25">
      <c r="A65" t="s">
        <v>79</v>
      </c>
    </row>
    <row r="66" spans="1:1" x14ac:dyDescent="0.25">
      <c r="A66" t="s">
        <v>80</v>
      </c>
    </row>
    <row r="67" spans="1:1" x14ac:dyDescent="0.25">
      <c r="A67" t="s">
        <v>81</v>
      </c>
    </row>
    <row r="68" spans="1:1" x14ac:dyDescent="0.25">
      <c r="A68" t="s">
        <v>296</v>
      </c>
    </row>
    <row r="70" spans="1:1" x14ac:dyDescent="0.25">
      <c r="A70" t="s">
        <v>297</v>
      </c>
    </row>
    <row r="72" spans="1:1" x14ac:dyDescent="0.25">
      <c r="A72" t="s">
        <v>82</v>
      </c>
    </row>
    <row r="74" spans="1:1" x14ac:dyDescent="0.25">
      <c r="A74" t="s">
        <v>83</v>
      </c>
    </row>
    <row r="76" spans="1:1" x14ac:dyDescent="0.25">
      <c r="A76" t="s">
        <v>84</v>
      </c>
    </row>
    <row r="78" spans="1:1" x14ac:dyDescent="0.25">
      <c r="A78" t="s">
        <v>85</v>
      </c>
    </row>
    <row r="80" spans="1:1" x14ac:dyDescent="0.25">
      <c r="A80" t="s">
        <v>86</v>
      </c>
    </row>
    <row r="82" spans="1:1" x14ac:dyDescent="0.25">
      <c r="A82" t="s">
        <v>87</v>
      </c>
    </row>
    <row r="84" spans="1:1" x14ac:dyDescent="0.25">
      <c r="A84" t="s">
        <v>88</v>
      </c>
    </row>
    <row r="85" spans="1:1" x14ac:dyDescent="0.25">
      <c r="A85" t="s">
        <v>296</v>
      </c>
    </row>
    <row r="87" spans="1:1" x14ac:dyDescent="0.25">
      <c r="A87" t="s">
        <v>31</v>
      </c>
    </row>
    <row r="88" spans="1:1" x14ac:dyDescent="0.25">
      <c r="A88" t="s">
        <v>298</v>
      </c>
    </row>
    <row r="90" spans="1:1" x14ac:dyDescent="0.25">
      <c r="A90" t="s">
        <v>299</v>
      </c>
    </row>
    <row r="92" spans="1:1" x14ac:dyDescent="0.25">
      <c r="A92">
        <v>1.0900000000000001</v>
      </c>
    </row>
    <row r="94" spans="1:1" x14ac:dyDescent="0.25">
      <c r="A94" t="s">
        <v>90</v>
      </c>
    </row>
    <row r="96" spans="1:1" x14ac:dyDescent="0.25">
      <c r="A96">
        <f>-0.004 -0.37%</f>
        <v>-7.7000000000000002E-3</v>
      </c>
    </row>
    <row r="98" spans="1:1" x14ac:dyDescent="0.25">
      <c r="A98" t="s">
        <v>91</v>
      </c>
    </row>
    <row r="100" spans="1:1" x14ac:dyDescent="0.25">
      <c r="A100" t="s">
        <v>416</v>
      </c>
    </row>
    <row r="102" spans="1:1" x14ac:dyDescent="0.25">
      <c r="A102" t="s">
        <v>417</v>
      </c>
    </row>
    <row r="104" spans="1:1" x14ac:dyDescent="0.25">
      <c r="A104" s="13" t="s">
        <v>92</v>
      </c>
    </row>
    <row r="106" spans="1:1" x14ac:dyDescent="0.25">
      <c r="A106" s="13" t="s">
        <v>298</v>
      </c>
    </row>
    <row r="108" spans="1:1" x14ac:dyDescent="0.25">
      <c r="A108" t="s">
        <v>93</v>
      </c>
    </row>
    <row r="110" spans="1:1" x14ac:dyDescent="0.25">
      <c r="A110" t="s">
        <v>300</v>
      </c>
    </row>
    <row r="112" spans="1:1" x14ac:dyDescent="0.25">
      <c r="A112" t="s">
        <v>301</v>
      </c>
    </row>
    <row r="114" spans="1:1" x14ac:dyDescent="0.25">
      <c r="A114" t="s">
        <v>90</v>
      </c>
    </row>
    <row r="116" spans="1:1" x14ac:dyDescent="0.25">
      <c r="A116" s="13">
        <f>-0.004 -0.37%</f>
        <v>-7.7000000000000002E-3</v>
      </c>
    </row>
    <row r="118" spans="1:1" x14ac:dyDescent="0.25">
      <c r="A118" s="13" t="s">
        <v>94</v>
      </c>
    </row>
    <row r="120" spans="1:1" x14ac:dyDescent="0.25">
      <c r="A120" t="s">
        <v>95</v>
      </c>
    </row>
    <row r="122" spans="1:1" x14ac:dyDescent="0.25">
      <c r="A122" t="s">
        <v>302</v>
      </c>
    </row>
    <row r="124" spans="1:1" x14ac:dyDescent="0.25">
      <c r="A124" t="s">
        <v>303</v>
      </c>
    </row>
    <row r="126" spans="1:1" x14ac:dyDescent="0.25">
      <c r="A126" s="13" t="s">
        <v>304</v>
      </c>
    </row>
    <row r="128" spans="1:1" x14ac:dyDescent="0.25">
      <c r="A128" s="13" t="s">
        <v>96</v>
      </c>
    </row>
    <row r="130" spans="1:2" x14ac:dyDescent="0.25">
      <c r="A130" t="s">
        <v>97</v>
      </c>
    </row>
    <row r="132" spans="1:2" x14ac:dyDescent="0.25">
      <c r="A132" s="2" t="s">
        <v>305</v>
      </c>
    </row>
    <row r="133" spans="1:2" x14ac:dyDescent="0.25">
      <c r="A133" s="2"/>
    </row>
    <row r="134" spans="1:2" x14ac:dyDescent="0.25">
      <c r="A134" t="s">
        <v>306</v>
      </c>
    </row>
    <row r="136" spans="1:2" x14ac:dyDescent="0.25">
      <c r="A136" t="s">
        <v>98</v>
      </c>
    </row>
    <row r="138" spans="1:2" x14ac:dyDescent="0.25">
      <c r="A138" t="s">
        <v>307</v>
      </c>
    </row>
    <row r="140" spans="1:2" x14ac:dyDescent="0.25">
      <c r="A140" s="2" t="s">
        <v>99</v>
      </c>
    </row>
    <row r="142" spans="1:2" x14ac:dyDescent="0.25">
      <c r="A142" t="s">
        <v>308</v>
      </c>
      <c r="B142" s="2"/>
    </row>
    <row r="143" spans="1:2" x14ac:dyDescent="0.25">
      <c r="B143" s="2"/>
    </row>
    <row r="144" spans="1:2" x14ac:dyDescent="0.25">
      <c r="A144" s="14" t="s">
        <v>100</v>
      </c>
    </row>
    <row r="145" spans="1:1" x14ac:dyDescent="0.25">
      <c r="A145" s="2"/>
    </row>
    <row r="146" spans="1:1" x14ac:dyDescent="0.25">
      <c r="A146">
        <v>18.18</v>
      </c>
    </row>
    <row r="148" spans="1:1" x14ac:dyDescent="0.25">
      <c r="A148" t="s">
        <v>101</v>
      </c>
    </row>
    <row r="150" spans="1:1" x14ac:dyDescent="0.25">
      <c r="A150" t="s">
        <v>309</v>
      </c>
    </row>
    <row r="152" spans="1:1" x14ac:dyDescent="0.25">
      <c r="A152" s="15" t="s">
        <v>102</v>
      </c>
    </row>
    <row r="153" spans="1:1" x14ac:dyDescent="0.25">
      <c r="A153" s="15"/>
    </row>
    <row r="154" spans="1:1" x14ac:dyDescent="0.25">
      <c r="A154">
        <v>0.06</v>
      </c>
    </row>
    <row r="156" spans="1:1" x14ac:dyDescent="0.25">
      <c r="A156" s="16" t="s">
        <v>103</v>
      </c>
    </row>
    <row r="157" spans="1:1" x14ac:dyDescent="0.25">
      <c r="A157" s="16"/>
    </row>
    <row r="158" spans="1:1" x14ac:dyDescent="0.25">
      <c r="A158" t="s">
        <v>310</v>
      </c>
    </row>
    <row r="160" spans="1:1" x14ac:dyDescent="0.25">
      <c r="A160" s="15" t="s">
        <v>104</v>
      </c>
    </row>
    <row r="162" spans="1:2" x14ac:dyDescent="0.25">
      <c r="A162" s="15">
        <v>1.83E-2</v>
      </c>
    </row>
    <row r="164" spans="1:2" x14ac:dyDescent="0.25">
      <c r="A164" s="16" t="s">
        <v>105</v>
      </c>
    </row>
    <row r="165" spans="1:2" x14ac:dyDescent="0.25">
      <c r="A165" s="15"/>
    </row>
    <row r="166" spans="1:2" x14ac:dyDescent="0.25">
      <c r="A166" s="16">
        <v>41386</v>
      </c>
    </row>
    <row r="168" spans="1:2" x14ac:dyDescent="0.25">
      <c r="A168" t="s">
        <v>106</v>
      </c>
    </row>
    <row r="169" spans="1:2" x14ac:dyDescent="0.25">
      <c r="A169" s="16" t="s">
        <v>107</v>
      </c>
    </row>
    <row r="170" spans="1:2" x14ac:dyDescent="0.25">
      <c r="B170" s="2"/>
    </row>
    <row r="171" spans="1:2" x14ac:dyDescent="0.25">
      <c r="A171" t="s">
        <v>108</v>
      </c>
      <c r="B171" s="2"/>
    </row>
    <row r="172" spans="1:2" x14ac:dyDescent="0.25">
      <c r="A172" t="s">
        <v>109</v>
      </c>
      <c r="B172" s="2"/>
    </row>
    <row r="173" spans="1:2" x14ac:dyDescent="0.25">
      <c r="A173" t="s">
        <v>110</v>
      </c>
      <c r="B173" s="2"/>
    </row>
    <row r="174" spans="1:2" x14ac:dyDescent="0.25">
      <c r="A174" t="s">
        <v>111</v>
      </c>
    </row>
    <row r="176" spans="1:2" x14ac:dyDescent="0.25">
      <c r="A176" t="s">
        <v>112</v>
      </c>
    </row>
    <row r="177" spans="1:1" x14ac:dyDescent="0.25">
      <c r="A177" t="s">
        <v>113</v>
      </c>
    </row>
    <row r="178" spans="1:1" x14ac:dyDescent="0.25">
      <c r="A178" t="s">
        <v>114</v>
      </c>
    </row>
    <row r="179" spans="1:1" x14ac:dyDescent="0.25">
      <c r="A179" t="s">
        <v>115</v>
      </c>
    </row>
    <row r="180" spans="1:1" x14ac:dyDescent="0.25">
      <c r="A180" t="s">
        <v>116</v>
      </c>
    </row>
    <row r="181" spans="1:1" x14ac:dyDescent="0.25">
      <c r="A181" t="s">
        <v>117</v>
      </c>
    </row>
    <row r="182" spans="1:1" x14ac:dyDescent="0.25">
      <c r="A182" t="s">
        <v>118</v>
      </c>
    </row>
    <row r="183" spans="1:1" x14ac:dyDescent="0.25">
      <c r="A183" t="s">
        <v>119</v>
      </c>
    </row>
    <row r="184" spans="1:1" x14ac:dyDescent="0.25">
      <c r="A184" t="s">
        <v>120</v>
      </c>
    </row>
    <row r="185" spans="1:1" x14ac:dyDescent="0.25">
      <c r="A185" t="s">
        <v>311</v>
      </c>
    </row>
    <row r="187" spans="1:1" x14ac:dyDescent="0.25">
      <c r="A187" t="s">
        <v>312</v>
      </c>
    </row>
    <row r="189" spans="1:1" x14ac:dyDescent="0.25">
      <c r="A189" t="s">
        <v>313</v>
      </c>
    </row>
    <row r="191" spans="1:1" x14ac:dyDescent="0.25">
      <c r="A191" t="s">
        <v>314</v>
      </c>
    </row>
    <row r="193" spans="1:1" x14ac:dyDescent="0.25">
      <c r="A193" t="s">
        <v>315</v>
      </c>
    </row>
    <row r="195" spans="1:1" x14ac:dyDescent="0.25">
      <c r="A195" t="s">
        <v>316</v>
      </c>
    </row>
    <row r="197" spans="1:1" x14ac:dyDescent="0.25">
      <c r="A197" s="15" t="s">
        <v>317</v>
      </c>
    </row>
    <row r="199" spans="1:1" x14ac:dyDescent="0.25">
      <c r="A199" s="15" t="s">
        <v>121</v>
      </c>
    </row>
    <row r="201" spans="1:1" x14ac:dyDescent="0.25">
      <c r="A201" s="15" t="s">
        <v>318</v>
      </c>
    </row>
    <row r="203" spans="1:1" x14ac:dyDescent="0.25">
      <c r="A203" s="15" t="s">
        <v>319</v>
      </c>
    </row>
    <row r="205" spans="1:1" x14ac:dyDescent="0.25">
      <c r="A205" s="15" t="s">
        <v>122</v>
      </c>
    </row>
    <row r="207" spans="1:1" x14ac:dyDescent="0.25">
      <c r="A207" s="15" t="s">
        <v>320</v>
      </c>
    </row>
    <row r="209" spans="1:1" x14ac:dyDescent="0.25">
      <c r="A209" s="15" t="s">
        <v>321</v>
      </c>
    </row>
    <row r="210" spans="1:1" x14ac:dyDescent="0.25">
      <c r="A210" s="15"/>
    </row>
    <row r="211" spans="1:1" x14ac:dyDescent="0.25">
      <c r="A211" s="15" t="s">
        <v>315</v>
      </c>
    </row>
    <row r="212" spans="1:1" x14ac:dyDescent="0.25">
      <c r="A212" s="15"/>
    </row>
    <row r="213" spans="1:1" x14ac:dyDescent="0.25">
      <c r="A213" s="15" t="s">
        <v>322</v>
      </c>
    </row>
    <row r="214" spans="1:1" x14ac:dyDescent="0.25">
      <c r="A214" s="15"/>
    </row>
    <row r="215" spans="1:1" x14ac:dyDescent="0.25">
      <c r="A215" s="15" t="s">
        <v>323</v>
      </c>
    </row>
    <row r="216" spans="1:1" x14ac:dyDescent="0.25">
      <c r="A216" s="15"/>
    </row>
    <row r="217" spans="1:1" x14ac:dyDescent="0.25">
      <c r="A217" s="15" t="s">
        <v>121</v>
      </c>
    </row>
    <row r="218" spans="1:1" x14ac:dyDescent="0.25">
      <c r="A218" s="15"/>
    </row>
    <row r="219" spans="1:1" x14ac:dyDescent="0.25">
      <c r="A219" s="15" t="s">
        <v>324</v>
      </c>
    </row>
    <row r="220" spans="1:1" x14ac:dyDescent="0.25">
      <c r="A220" s="15"/>
    </row>
    <row r="221" spans="1:1" x14ac:dyDescent="0.25">
      <c r="A221" t="s">
        <v>325</v>
      </c>
    </row>
    <row r="222" spans="1:1" x14ac:dyDescent="0.25">
      <c r="A222" s="15"/>
    </row>
    <row r="223" spans="1:1" x14ac:dyDescent="0.25">
      <c r="A223" t="s">
        <v>121</v>
      </c>
    </row>
    <row r="224" spans="1:1" x14ac:dyDescent="0.25">
      <c r="A224" s="15"/>
    </row>
    <row r="225" spans="1:1" x14ac:dyDescent="0.25">
      <c r="A225" t="s">
        <v>326</v>
      </c>
    </row>
    <row r="226" spans="1:1" x14ac:dyDescent="0.25">
      <c r="A226" s="15"/>
    </row>
    <row r="227" spans="1:1" x14ac:dyDescent="0.25">
      <c r="A227" t="s">
        <v>327</v>
      </c>
    </row>
    <row r="228" spans="1:1" x14ac:dyDescent="0.25">
      <c r="A228" s="15"/>
    </row>
    <row r="229" spans="1:1" x14ac:dyDescent="0.25">
      <c r="A229" s="15" t="s">
        <v>121</v>
      </c>
    </row>
    <row r="230" spans="1:1" x14ac:dyDescent="0.25">
      <c r="A230" s="15"/>
    </row>
    <row r="231" spans="1:1" x14ac:dyDescent="0.25">
      <c r="A231" s="15" t="s">
        <v>328</v>
      </c>
    </row>
    <row r="232" spans="1:1" x14ac:dyDescent="0.25">
      <c r="A232" s="15"/>
    </row>
    <row r="233" spans="1:1" x14ac:dyDescent="0.25">
      <c r="A233" s="15" t="s">
        <v>329</v>
      </c>
    </row>
    <row r="234" spans="1:1" x14ac:dyDescent="0.25">
      <c r="A234" s="15"/>
    </row>
    <row r="235" spans="1:1" x14ac:dyDescent="0.25">
      <c r="A235" s="15" t="s">
        <v>122</v>
      </c>
    </row>
    <row r="236" spans="1:1" x14ac:dyDescent="0.25">
      <c r="A236" s="15"/>
    </row>
    <row r="237" spans="1:1" x14ac:dyDescent="0.25">
      <c r="A237" s="15" t="s">
        <v>330</v>
      </c>
    </row>
    <row r="238" spans="1:1" x14ac:dyDescent="0.25">
      <c r="A238" s="15"/>
    </row>
    <row r="239" spans="1:1" x14ac:dyDescent="0.25">
      <c r="A239" s="15" t="s">
        <v>331</v>
      </c>
    </row>
    <row r="241" spans="1:1" x14ac:dyDescent="0.25">
      <c r="A241" s="15" t="s">
        <v>122</v>
      </c>
    </row>
    <row r="243" spans="1:1" x14ac:dyDescent="0.25">
      <c r="A243" s="15" t="s">
        <v>332</v>
      </c>
    </row>
    <row r="245" spans="1:1" x14ac:dyDescent="0.25">
      <c r="A245" s="15" t="s">
        <v>333</v>
      </c>
    </row>
    <row r="247" spans="1:1" x14ac:dyDescent="0.25">
      <c r="A247" s="15" t="s">
        <v>334</v>
      </c>
    </row>
    <row r="248" spans="1:1" x14ac:dyDescent="0.25">
      <c r="A248" s="15"/>
    </row>
    <row r="249" spans="1:1" x14ac:dyDescent="0.25">
      <c r="A249" s="15" t="s">
        <v>335</v>
      </c>
    </row>
    <row r="250" spans="1:1" x14ac:dyDescent="0.25">
      <c r="A250" s="15"/>
    </row>
    <row r="251" spans="1:1" x14ac:dyDescent="0.25">
      <c r="A251" s="15" t="s">
        <v>336</v>
      </c>
    </row>
    <row r="252" spans="1:1" x14ac:dyDescent="0.25">
      <c r="A252" s="15"/>
    </row>
    <row r="253" spans="1:1" x14ac:dyDescent="0.25">
      <c r="A253" s="15" t="s">
        <v>122</v>
      </c>
    </row>
    <row r="254" spans="1:1" x14ac:dyDescent="0.25">
      <c r="A254" s="15"/>
    </row>
    <row r="255" spans="1:1" x14ac:dyDescent="0.25">
      <c r="A255" s="15" t="s">
        <v>337</v>
      </c>
    </row>
    <row r="256" spans="1:1" x14ac:dyDescent="0.25">
      <c r="A256" s="15"/>
    </row>
    <row r="257" spans="1:4" x14ac:dyDescent="0.25">
      <c r="A257" t="s">
        <v>338</v>
      </c>
    </row>
    <row r="258" spans="1:4" x14ac:dyDescent="0.25">
      <c r="A258" s="15"/>
    </row>
    <row r="259" spans="1:4" x14ac:dyDescent="0.25">
      <c r="A259" t="s">
        <v>122</v>
      </c>
    </row>
    <row r="260" spans="1:4" x14ac:dyDescent="0.25">
      <c r="A260" s="15"/>
      <c r="B260" s="11"/>
    </row>
    <row r="261" spans="1:4" x14ac:dyDescent="0.25">
      <c r="A261" t="s">
        <v>339</v>
      </c>
      <c r="B261" s="11"/>
    </row>
    <row r="262" spans="1:4" x14ac:dyDescent="0.25">
      <c r="A262" s="15"/>
    </row>
    <row r="263" spans="1:4" x14ac:dyDescent="0.25">
      <c r="A263" t="s">
        <v>340</v>
      </c>
    </row>
    <row r="264" spans="1:4" x14ac:dyDescent="0.25">
      <c r="A264" s="15"/>
    </row>
    <row r="265" spans="1:4" x14ac:dyDescent="0.25">
      <c r="A265" s="15" t="s">
        <v>122</v>
      </c>
    </row>
    <row r="266" spans="1:4" x14ac:dyDescent="0.25">
      <c r="A266" s="15"/>
    </row>
    <row r="267" spans="1:4" x14ac:dyDescent="0.25">
      <c r="A267" s="15" t="s">
        <v>341</v>
      </c>
    </row>
    <row r="268" spans="1:4" x14ac:dyDescent="0.25">
      <c r="A268" s="15"/>
    </row>
    <row r="269" spans="1:4" x14ac:dyDescent="0.25">
      <c r="A269" s="15" t="s">
        <v>342</v>
      </c>
    </row>
    <row r="270" spans="1:4" x14ac:dyDescent="0.25">
      <c r="A270" s="15"/>
    </row>
    <row r="271" spans="1:4" x14ac:dyDescent="0.25">
      <c r="A271" s="15" t="s">
        <v>343</v>
      </c>
    </row>
    <row r="272" spans="1:4" x14ac:dyDescent="0.25">
      <c r="A272" s="15"/>
      <c r="B272" s="15"/>
      <c r="C272" s="15"/>
      <c r="D272" s="15"/>
    </row>
    <row r="273" spans="1:4" x14ac:dyDescent="0.25">
      <c r="A273" s="15" t="s">
        <v>344</v>
      </c>
      <c r="B273" s="15"/>
      <c r="C273" s="15"/>
      <c r="D273" s="15"/>
    </row>
    <row r="274" spans="1:4" x14ac:dyDescent="0.25">
      <c r="A274" s="15"/>
      <c r="B274" s="15"/>
      <c r="C274" s="15"/>
      <c r="D274" s="15"/>
    </row>
    <row r="275" spans="1:4" x14ac:dyDescent="0.25">
      <c r="A275" s="15" t="s">
        <v>345</v>
      </c>
      <c r="B275" s="15"/>
      <c r="C275" s="15"/>
      <c r="D275" s="15"/>
    </row>
    <row r="276" spans="1:4" x14ac:dyDescent="0.25">
      <c r="B276" s="15"/>
      <c r="C276" s="15"/>
      <c r="D276" s="15"/>
    </row>
    <row r="277" spans="1:4" x14ac:dyDescent="0.25">
      <c r="A277" s="15" t="s">
        <v>122</v>
      </c>
      <c r="B277" s="15"/>
      <c r="C277" s="15"/>
      <c r="D277" s="15"/>
    </row>
    <row r="278" spans="1:4" x14ac:dyDescent="0.25">
      <c r="B278" s="15"/>
      <c r="C278" s="15"/>
      <c r="D278" s="15"/>
    </row>
    <row r="279" spans="1:4" x14ac:dyDescent="0.25">
      <c r="A279" s="15" t="s">
        <v>346</v>
      </c>
      <c r="B279" s="15"/>
      <c r="C279" s="15"/>
      <c r="D279" s="15"/>
    </row>
    <row r="280" spans="1:4" x14ac:dyDescent="0.25">
      <c r="B280" s="15"/>
      <c r="C280" s="15"/>
      <c r="D280" s="15"/>
    </row>
    <row r="281" spans="1:4" x14ac:dyDescent="0.25">
      <c r="A281" t="s">
        <v>347</v>
      </c>
      <c r="B281" s="15"/>
      <c r="C281" s="15"/>
      <c r="D281" s="15"/>
    </row>
    <row r="282" spans="1:4" x14ac:dyDescent="0.25">
      <c r="B282" s="15"/>
      <c r="C282" s="15"/>
      <c r="D282" s="15"/>
    </row>
    <row r="283" spans="1:4" x14ac:dyDescent="0.25">
      <c r="A283" t="s">
        <v>122</v>
      </c>
      <c r="B283" s="15"/>
      <c r="C283" s="15"/>
      <c r="D283" s="15"/>
    </row>
    <row r="284" spans="1:4" x14ac:dyDescent="0.25">
      <c r="A284" s="11"/>
      <c r="B284" s="15"/>
      <c r="C284" s="15"/>
      <c r="D284" s="15"/>
    </row>
    <row r="285" spans="1:4" x14ac:dyDescent="0.25">
      <c r="A285" t="s">
        <v>348</v>
      </c>
      <c r="B285" s="15"/>
      <c r="C285" s="15"/>
      <c r="D285" s="15"/>
    </row>
    <row r="286" spans="1:4" x14ac:dyDescent="0.25">
      <c r="B286" s="15"/>
      <c r="C286" s="15"/>
      <c r="D286" s="15"/>
    </row>
    <row r="287" spans="1:4" x14ac:dyDescent="0.25">
      <c r="A287" t="s">
        <v>349</v>
      </c>
      <c r="B287" s="15"/>
      <c r="C287" s="15"/>
      <c r="D287" s="15"/>
    </row>
    <row r="288" spans="1:4" x14ac:dyDescent="0.25">
      <c r="B288" s="15"/>
      <c r="C288" s="15"/>
      <c r="D288" s="15"/>
    </row>
    <row r="289" spans="1:4" x14ac:dyDescent="0.25">
      <c r="A289" t="s">
        <v>122</v>
      </c>
      <c r="B289" s="15"/>
      <c r="C289" s="15"/>
      <c r="D289" s="15"/>
    </row>
    <row r="290" spans="1:4" x14ac:dyDescent="0.25">
      <c r="B290" s="15"/>
      <c r="C290" s="15"/>
      <c r="D290" s="15"/>
    </row>
    <row r="291" spans="1:4" x14ac:dyDescent="0.25">
      <c r="A291" t="s">
        <v>350</v>
      </c>
      <c r="B291" s="15"/>
      <c r="C291" s="15"/>
      <c r="D291" s="15"/>
    </row>
    <row r="292" spans="1:4" x14ac:dyDescent="0.25">
      <c r="A292" s="11"/>
      <c r="B292" s="15"/>
      <c r="C292" s="15"/>
      <c r="D292" s="15"/>
    </row>
    <row r="293" spans="1:4" x14ac:dyDescent="0.25">
      <c r="A293" t="s">
        <v>351</v>
      </c>
      <c r="B293" s="15"/>
      <c r="C293" s="15"/>
      <c r="D293" s="15"/>
    </row>
    <row r="295" spans="1:4" x14ac:dyDescent="0.25">
      <c r="A295" t="s">
        <v>122</v>
      </c>
    </row>
    <row r="297" spans="1:4" x14ac:dyDescent="0.25">
      <c r="A297" s="11" t="s">
        <v>352</v>
      </c>
    </row>
    <row r="299" spans="1:4" x14ac:dyDescent="0.25">
      <c r="A299" t="s">
        <v>353</v>
      </c>
    </row>
    <row r="301" spans="1:4" x14ac:dyDescent="0.25">
      <c r="A301" t="s">
        <v>123</v>
      </c>
    </row>
    <row r="303" spans="1:4" x14ac:dyDescent="0.25">
      <c r="A303" t="s">
        <v>354</v>
      </c>
    </row>
    <row r="305" spans="1:1" x14ac:dyDescent="0.25">
      <c r="A305" t="s">
        <v>355</v>
      </c>
    </row>
    <row r="307" spans="1:1" x14ac:dyDescent="0.25">
      <c r="A307" t="s">
        <v>122</v>
      </c>
    </row>
    <row r="309" spans="1:1" x14ac:dyDescent="0.25">
      <c r="A309" t="s">
        <v>124</v>
      </c>
    </row>
    <row r="311" spans="1:1" x14ac:dyDescent="0.25">
      <c r="A311" t="s">
        <v>356</v>
      </c>
    </row>
    <row r="313" spans="1:1" x14ac:dyDescent="0.25">
      <c r="A313" t="s">
        <v>357</v>
      </c>
    </row>
    <row r="315" spans="1:1" x14ac:dyDescent="0.25">
      <c r="A315" t="s">
        <v>358</v>
      </c>
    </row>
    <row r="317" spans="1:1" x14ac:dyDescent="0.25">
      <c r="A317" t="s">
        <v>359</v>
      </c>
    </row>
    <row r="319" spans="1:1" x14ac:dyDescent="0.25">
      <c r="A319" t="s">
        <v>125</v>
      </c>
    </row>
    <row r="321" spans="1:1" x14ac:dyDescent="0.25">
      <c r="A321" t="s">
        <v>360</v>
      </c>
    </row>
    <row r="323" spans="1:1" x14ac:dyDescent="0.25">
      <c r="A323" t="s">
        <v>126</v>
      </c>
    </row>
    <row r="325" spans="1:1" x14ac:dyDescent="0.25">
      <c r="A325" t="s">
        <v>125</v>
      </c>
    </row>
    <row r="327" spans="1:1" x14ac:dyDescent="0.25">
      <c r="A327" t="s">
        <v>361</v>
      </c>
    </row>
    <row r="329" spans="1:1" x14ac:dyDescent="0.25">
      <c r="A329" t="s">
        <v>362</v>
      </c>
    </row>
    <row r="331" spans="1:1" x14ac:dyDescent="0.25">
      <c r="A331" t="s">
        <v>125</v>
      </c>
    </row>
    <row r="333" spans="1:1" x14ac:dyDescent="0.25">
      <c r="A333" t="s">
        <v>363</v>
      </c>
    </row>
    <row r="335" spans="1:1" x14ac:dyDescent="0.25">
      <c r="A335" t="s">
        <v>364</v>
      </c>
    </row>
    <row r="337" spans="1:1" x14ac:dyDescent="0.25">
      <c r="A337" t="s">
        <v>125</v>
      </c>
    </row>
    <row r="339" spans="1:1" x14ac:dyDescent="0.25">
      <c r="A339" t="s">
        <v>365</v>
      </c>
    </row>
    <row r="341" spans="1:1" x14ac:dyDescent="0.25">
      <c r="A341" t="s">
        <v>366</v>
      </c>
    </row>
    <row r="343" spans="1:1" x14ac:dyDescent="0.25">
      <c r="A343" t="s">
        <v>125</v>
      </c>
    </row>
    <row r="345" spans="1:1" x14ac:dyDescent="0.25">
      <c r="A345" t="s">
        <v>367</v>
      </c>
    </row>
    <row r="347" spans="1:1" x14ac:dyDescent="0.25">
      <c r="A347" t="s">
        <v>368</v>
      </c>
    </row>
    <row r="349" spans="1:1" x14ac:dyDescent="0.25">
      <c r="A349" t="s">
        <v>125</v>
      </c>
    </row>
    <row r="351" spans="1:1" x14ac:dyDescent="0.25">
      <c r="A351" t="s">
        <v>369</v>
      </c>
    </row>
    <row r="353" spans="1:1" x14ac:dyDescent="0.25">
      <c r="A353" t="s">
        <v>370</v>
      </c>
    </row>
    <row r="355" spans="1:1" x14ac:dyDescent="0.25">
      <c r="A355" t="s">
        <v>125</v>
      </c>
    </row>
    <row r="357" spans="1:1" x14ac:dyDescent="0.25">
      <c r="A357" t="s">
        <v>371</v>
      </c>
    </row>
    <row r="359" spans="1:1" x14ac:dyDescent="0.25">
      <c r="A359" t="s">
        <v>372</v>
      </c>
    </row>
    <row r="361" spans="1:1" x14ac:dyDescent="0.25">
      <c r="A361" t="s">
        <v>125</v>
      </c>
    </row>
    <row r="363" spans="1:1" x14ac:dyDescent="0.25">
      <c r="A363" t="s">
        <v>373</v>
      </c>
    </row>
    <row r="365" spans="1:1" x14ac:dyDescent="0.25">
      <c r="A365" t="s">
        <v>374</v>
      </c>
    </row>
    <row r="367" spans="1:1" x14ac:dyDescent="0.25">
      <c r="A367" t="s">
        <v>125</v>
      </c>
    </row>
    <row r="369" spans="1:1" x14ac:dyDescent="0.25">
      <c r="A369" t="s">
        <v>375</v>
      </c>
    </row>
    <row r="371" spans="1:1" x14ac:dyDescent="0.25">
      <c r="A371" t="s">
        <v>376</v>
      </c>
    </row>
    <row r="373" spans="1:1" x14ac:dyDescent="0.25">
      <c r="A373" t="s">
        <v>125</v>
      </c>
    </row>
    <row r="375" spans="1:1" x14ac:dyDescent="0.25">
      <c r="A375" t="s">
        <v>377</v>
      </c>
    </row>
    <row r="377" spans="1:1" x14ac:dyDescent="0.25">
      <c r="A377" t="s">
        <v>378</v>
      </c>
    </row>
    <row r="379" spans="1:1" x14ac:dyDescent="0.25">
      <c r="A379" t="s">
        <v>125</v>
      </c>
    </row>
    <row r="381" spans="1:1" x14ac:dyDescent="0.25">
      <c r="A381" t="s">
        <v>379</v>
      </c>
    </row>
    <row r="383" spans="1:1" x14ac:dyDescent="0.25">
      <c r="A383" t="s">
        <v>380</v>
      </c>
    </row>
    <row r="385" spans="1:1" x14ac:dyDescent="0.25">
      <c r="A385" t="s">
        <v>125</v>
      </c>
    </row>
    <row r="387" spans="1:1" x14ac:dyDescent="0.25">
      <c r="A387" t="s">
        <v>381</v>
      </c>
    </row>
    <row r="389" spans="1:1" x14ac:dyDescent="0.25">
      <c r="A389" t="s">
        <v>382</v>
      </c>
    </row>
    <row r="391" spans="1:1" x14ac:dyDescent="0.25">
      <c r="A391" t="s">
        <v>125</v>
      </c>
    </row>
    <row r="393" spans="1:1" x14ac:dyDescent="0.25">
      <c r="A393" t="s">
        <v>383</v>
      </c>
    </row>
    <row r="395" spans="1:1" x14ac:dyDescent="0.25">
      <c r="A395" t="s">
        <v>384</v>
      </c>
    </row>
    <row r="397" spans="1:1" x14ac:dyDescent="0.25">
      <c r="A397" t="s">
        <v>125</v>
      </c>
    </row>
    <row r="399" spans="1:1" x14ac:dyDescent="0.25">
      <c r="A399" t="s">
        <v>385</v>
      </c>
    </row>
    <row r="401" spans="1:1" x14ac:dyDescent="0.25">
      <c r="A401" t="s">
        <v>386</v>
      </c>
    </row>
    <row r="403" spans="1:1" x14ac:dyDescent="0.25">
      <c r="A403" t="s">
        <v>125</v>
      </c>
    </row>
    <row r="405" spans="1:1" x14ac:dyDescent="0.25">
      <c r="A405" t="s">
        <v>387</v>
      </c>
    </row>
    <row r="407" spans="1:1" x14ac:dyDescent="0.25">
      <c r="A407" t="s">
        <v>388</v>
      </c>
    </row>
    <row r="408" spans="1:1" x14ac:dyDescent="0.25">
      <c r="A408" s="17"/>
    </row>
    <row r="409" spans="1:1" x14ac:dyDescent="0.25">
      <c r="A409" t="s">
        <v>125</v>
      </c>
    </row>
    <row r="410" spans="1:1" x14ac:dyDescent="0.25">
      <c r="A410" s="15"/>
    </row>
    <row r="411" spans="1:1" x14ac:dyDescent="0.25">
      <c r="A411" t="s">
        <v>389</v>
      </c>
    </row>
    <row r="412" spans="1:1" x14ac:dyDescent="0.25">
      <c r="A412" s="15"/>
    </row>
    <row r="413" spans="1:1" x14ac:dyDescent="0.25">
      <c r="A413" t="s">
        <v>390</v>
      </c>
    </row>
    <row r="414" spans="1:1" x14ac:dyDescent="0.25">
      <c r="A414" s="15"/>
    </row>
    <row r="415" spans="1:1" x14ac:dyDescent="0.25">
      <c r="A415" s="17" t="s">
        <v>125</v>
      </c>
    </row>
    <row r="416" spans="1:1" x14ac:dyDescent="0.25">
      <c r="A416" s="15"/>
    </row>
    <row r="417" spans="1:1" x14ac:dyDescent="0.25">
      <c r="A417" s="15" t="s">
        <v>391</v>
      </c>
    </row>
    <row r="418" spans="1:1" x14ac:dyDescent="0.25">
      <c r="A418" s="15"/>
    </row>
    <row r="419" spans="1:1" x14ac:dyDescent="0.25">
      <c r="A419" t="s">
        <v>392</v>
      </c>
    </row>
    <row r="420" spans="1:1" x14ac:dyDescent="0.25">
      <c r="A420" s="15"/>
    </row>
    <row r="421" spans="1:1" x14ac:dyDescent="0.25">
      <c r="A421" s="17" t="s">
        <v>125</v>
      </c>
    </row>
    <row r="422" spans="1:1" x14ac:dyDescent="0.25">
      <c r="A422" s="15"/>
    </row>
    <row r="423" spans="1:1" x14ac:dyDescent="0.25">
      <c r="A423" s="17" t="s">
        <v>393</v>
      </c>
    </row>
    <row r="424" spans="1:1" x14ac:dyDescent="0.25">
      <c r="A424" s="15"/>
    </row>
    <row r="425" spans="1:1" x14ac:dyDescent="0.25">
      <c r="A425" s="15" t="s">
        <v>394</v>
      </c>
    </row>
    <row r="426" spans="1:1" x14ac:dyDescent="0.25">
      <c r="A426" s="15"/>
    </row>
    <row r="427" spans="1:1" x14ac:dyDescent="0.25">
      <c r="A427" t="s">
        <v>125</v>
      </c>
    </row>
    <row r="428" spans="1:1" x14ac:dyDescent="0.25">
      <c r="A428" s="17"/>
    </row>
    <row r="429" spans="1:1" x14ac:dyDescent="0.25">
      <c r="A429" t="s">
        <v>395</v>
      </c>
    </row>
    <row r="430" spans="1:1" x14ac:dyDescent="0.25">
      <c r="A430" s="17"/>
    </row>
    <row r="431" spans="1:1" x14ac:dyDescent="0.25">
      <c r="A431" s="15" t="s">
        <v>396</v>
      </c>
    </row>
    <row r="432" spans="1:1" x14ac:dyDescent="0.25">
      <c r="A432" s="15"/>
    </row>
    <row r="433" spans="1:1" x14ac:dyDescent="0.25">
      <c r="A433" s="15" t="s">
        <v>125</v>
      </c>
    </row>
    <row r="435" spans="1:1" x14ac:dyDescent="0.25">
      <c r="A435" s="15" t="s">
        <v>124</v>
      </c>
    </row>
    <row r="437" spans="1:1" x14ac:dyDescent="0.25">
      <c r="A437" s="15" t="s">
        <v>397</v>
      </c>
    </row>
    <row r="438" spans="1:1" x14ac:dyDescent="0.25">
      <c r="A438" s="15"/>
    </row>
    <row r="439" spans="1:1" x14ac:dyDescent="0.25">
      <c r="A439" s="15" t="s">
        <v>398</v>
      </c>
    </row>
    <row r="440" spans="1:1" x14ac:dyDescent="0.25">
      <c r="A440" s="15"/>
    </row>
    <row r="441" spans="1:1" x14ac:dyDescent="0.25">
      <c r="A441" s="15" t="s">
        <v>399</v>
      </c>
    </row>
    <row r="442" spans="1:1" x14ac:dyDescent="0.25">
      <c r="A442" s="15"/>
    </row>
    <row r="443" spans="1:1" x14ac:dyDescent="0.25">
      <c r="A443" s="15" t="s">
        <v>127</v>
      </c>
    </row>
    <row r="444" spans="1:1" x14ac:dyDescent="0.25">
      <c r="A444" s="15"/>
    </row>
    <row r="445" spans="1:1" x14ac:dyDescent="0.25">
      <c r="A445" s="15" t="s">
        <v>128</v>
      </c>
    </row>
    <row r="446" spans="1:1" x14ac:dyDescent="0.25">
      <c r="A446" s="15" t="s">
        <v>129</v>
      </c>
    </row>
    <row r="447" spans="1:1" x14ac:dyDescent="0.25">
      <c r="A447" s="15">
        <v>4.2999999999999997E-2</v>
      </c>
    </row>
    <row r="448" spans="1:1" x14ac:dyDescent="0.25">
      <c r="A448" s="15" t="s">
        <v>130</v>
      </c>
    </row>
    <row r="449" spans="1:1" x14ac:dyDescent="0.25">
      <c r="A449" s="15">
        <v>3.9E-2</v>
      </c>
    </row>
    <row r="450" spans="1:1" x14ac:dyDescent="0.25">
      <c r="A450" s="15" t="s">
        <v>131</v>
      </c>
    </row>
    <row r="451" spans="1:1" x14ac:dyDescent="0.25">
      <c r="A451" s="15">
        <v>3.1E-2</v>
      </c>
    </row>
    <row r="452" spans="1:1" x14ac:dyDescent="0.25">
      <c r="A452" s="15" t="s">
        <v>132</v>
      </c>
    </row>
    <row r="453" spans="1:1" x14ac:dyDescent="0.25">
      <c r="A453" s="15">
        <v>3.1E-2</v>
      </c>
    </row>
    <row r="454" spans="1:1" x14ac:dyDescent="0.25">
      <c r="A454" s="15" t="s">
        <v>133</v>
      </c>
    </row>
    <row r="455" spans="1:1" x14ac:dyDescent="0.25">
      <c r="A455" s="15">
        <v>0.04</v>
      </c>
    </row>
    <row r="456" spans="1:1" x14ac:dyDescent="0.25">
      <c r="A456" s="15" t="s">
        <v>134</v>
      </c>
    </row>
    <row r="457" spans="1:1" x14ac:dyDescent="0.25">
      <c r="A457" s="15">
        <v>3.2000000000000001E-2</v>
      </c>
    </row>
    <row r="458" spans="1:1" x14ac:dyDescent="0.25">
      <c r="A458" s="15" t="s">
        <v>135</v>
      </c>
    </row>
    <row r="459" spans="1:1" x14ac:dyDescent="0.25">
      <c r="A459" s="15">
        <v>3.4000000000000002E-2</v>
      </c>
    </row>
    <row r="460" spans="1:1" x14ac:dyDescent="0.25">
      <c r="A460" s="15" t="s">
        <v>136</v>
      </c>
    </row>
    <row r="461" spans="1:1" x14ac:dyDescent="0.25">
      <c r="A461" s="15">
        <v>3.5000000000000003E-2</v>
      </c>
    </row>
    <row r="462" spans="1:1" x14ac:dyDescent="0.25">
      <c r="A462" s="15"/>
    </row>
    <row r="463" spans="1:1" x14ac:dyDescent="0.25">
      <c r="A463" s="15" t="s">
        <v>137</v>
      </c>
    </row>
    <row r="464" spans="1:1" x14ac:dyDescent="0.25">
      <c r="A464" s="15"/>
    </row>
    <row r="465" spans="1:1" x14ac:dyDescent="0.25">
      <c r="A465" s="15" t="s">
        <v>138</v>
      </c>
    </row>
    <row r="466" spans="1:1" x14ac:dyDescent="0.25">
      <c r="A466" s="15">
        <v>4.5999999999999999E-2</v>
      </c>
    </row>
    <row r="467" spans="1:1" x14ac:dyDescent="0.25">
      <c r="A467" s="15" t="s">
        <v>139</v>
      </c>
    </row>
    <row r="468" spans="1:1" x14ac:dyDescent="0.25">
      <c r="A468" s="15">
        <v>4.1000000000000002E-2</v>
      </c>
    </row>
    <row r="469" spans="1:1" x14ac:dyDescent="0.25">
      <c r="A469" s="15" t="s">
        <v>140</v>
      </c>
    </row>
    <row r="470" spans="1:1" x14ac:dyDescent="0.25">
      <c r="A470" s="15">
        <v>4.1000000000000002E-2</v>
      </c>
    </row>
    <row r="471" spans="1:1" x14ac:dyDescent="0.25">
      <c r="A471" s="15" t="s">
        <v>141</v>
      </c>
    </row>
    <row r="472" spans="1:1" x14ac:dyDescent="0.25">
      <c r="A472" s="15">
        <v>3.7999999999999999E-2</v>
      </c>
    </row>
    <row r="473" spans="1:1" x14ac:dyDescent="0.25">
      <c r="A473" s="15" t="s">
        <v>142</v>
      </c>
    </row>
    <row r="474" spans="1:1" x14ac:dyDescent="0.25">
      <c r="A474" s="15">
        <v>0.05</v>
      </c>
    </row>
    <row r="475" spans="1:1" x14ac:dyDescent="0.25">
      <c r="A475" s="15" t="s">
        <v>143</v>
      </c>
    </row>
    <row r="476" spans="1:1" x14ac:dyDescent="0.25">
      <c r="A476" s="15">
        <v>4.2999999999999997E-2</v>
      </c>
    </row>
    <row r="477" spans="1:1" x14ac:dyDescent="0.25">
      <c r="A477" s="15" t="s">
        <v>144</v>
      </c>
    </row>
    <row r="478" spans="1:1" x14ac:dyDescent="0.25">
      <c r="A478" s="15">
        <v>4.2999999999999997E-2</v>
      </c>
    </row>
    <row r="479" spans="1:1" x14ac:dyDescent="0.25">
      <c r="A479" s="15" t="s">
        <v>145</v>
      </c>
    </row>
    <row r="480" spans="1:1" x14ac:dyDescent="0.25">
      <c r="A480" s="15">
        <v>4.1000000000000002E-2</v>
      </c>
    </row>
    <row r="481" spans="1:4" x14ac:dyDescent="0.25">
      <c r="A481" s="15"/>
    </row>
    <row r="482" spans="1:4" x14ac:dyDescent="0.25">
      <c r="A482" s="15" t="s">
        <v>137</v>
      </c>
    </row>
    <row r="483" spans="1:4" x14ac:dyDescent="0.25">
      <c r="A483" s="15"/>
    </row>
    <row r="484" spans="1:4" x14ac:dyDescent="0.25">
      <c r="A484" s="15" t="s">
        <v>146</v>
      </c>
    </row>
    <row r="485" spans="1:4" x14ac:dyDescent="0.25">
      <c r="A485" s="15">
        <v>1.4999999999999999E-2</v>
      </c>
    </row>
    <row r="486" spans="1:4" x14ac:dyDescent="0.25">
      <c r="A486" s="15" t="s">
        <v>147</v>
      </c>
    </row>
    <row r="487" spans="1:4" x14ac:dyDescent="0.25">
      <c r="A487" s="15">
        <v>8.0000000000000002E-3</v>
      </c>
      <c r="B487" s="15"/>
      <c r="C487" s="15"/>
      <c r="D487" s="15"/>
    </row>
    <row r="488" spans="1:4" x14ac:dyDescent="0.25">
      <c r="A488" s="15" t="s">
        <v>148</v>
      </c>
      <c r="B488" s="15"/>
      <c r="C488" s="15"/>
      <c r="D488" s="15"/>
    </row>
    <row r="489" spans="1:4" x14ac:dyDescent="0.25">
      <c r="A489" s="15">
        <v>7.0000000000000001E-3</v>
      </c>
      <c r="B489" s="15"/>
      <c r="C489" s="15"/>
      <c r="D489" s="15"/>
    </row>
    <row r="490" spans="1:4" x14ac:dyDescent="0.25">
      <c r="A490" s="15" t="s">
        <v>149</v>
      </c>
      <c r="B490" s="15"/>
      <c r="C490" s="15"/>
      <c r="D490" s="15"/>
    </row>
    <row r="491" spans="1:4" x14ac:dyDescent="0.25">
      <c r="A491" s="15">
        <v>4.0000000000000001E-3</v>
      </c>
      <c r="B491" s="15"/>
      <c r="C491" s="15"/>
      <c r="D491" s="15"/>
    </row>
    <row r="492" spans="1:4" x14ac:dyDescent="0.25">
      <c r="A492" s="15" t="s">
        <v>150</v>
      </c>
      <c r="B492" s="15"/>
      <c r="C492" s="15"/>
      <c r="D492" s="15"/>
    </row>
    <row r="493" spans="1:4" x14ac:dyDescent="0.25">
      <c r="A493" s="15">
        <v>6.0000000000000001E-3</v>
      </c>
      <c r="B493" s="15"/>
      <c r="C493" s="15"/>
      <c r="D493" s="15"/>
    </row>
    <row r="494" spans="1:4" x14ac:dyDescent="0.25">
      <c r="A494" s="15" t="s">
        <v>151</v>
      </c>
      <c r="B494" s="15"/>
      <c r="C494" s="15"/>
      <c r="D494" s="15"/>
    </row>
    <row r="495" spans="1:4" x14ac:dyDescent="0.25">
      <c r="A495" s="15">
        <v>4.0000000000000001E-3</v>
      </c>
      <c r="B495" s="15"/>
      <c r="C495" s="15"/>
      <c r="D495" s="15"/>
    </row>
    <row r="496" spans="1:4" x14ac:dyDescent="0.25">
      <c r="A496" s="15" t="s">
        <v>152</v>
      </c>
    </row>
    <row r="497" spans="1:1" x14ac:dyDescent="0.25">
      <c r="A497" s="15">
        <v>5.0000000000000001E-3</v>
      </c>
    </row>
    <row r="498" spans="1:1" x14ac:dyDescent="0.25">
      <c r="A498" s="15"/>
    </row>
    <row r="499" spans="1:1" x14ac:dyDescent="0.25">
      <c r="A499" s="11" t="s">
        <v>137</v>
      </c>
    </row>
    <row r="500" spans="1:1" x14ac:dyDescent="0.25">
      <c r="A500" s="15"/>
    </row>
    <row r="501" spans="1:1" x14ac:dyDescent="0.25">
      <c r="A501" s="15" t="s">
        <v>153</v>
      </c>
    </row>
    <row r="502" spans="1:1" x14ac:dyDescent="0.25">
      <c r="A502" s="15">
        <v>2.7E-2</v>
      </c>
    </row>
    <row r="503" spans="1:1" x14ac:dyDescent="0.25">
      <c r="A503" s="15" t="s">
        <v>154</v>
      </c>
    </row>
    <row r="504" spans="1:1" x14ac:dyDescent="0.25">
      <c r="A504" s="15">
        <v>2.9000000000000001E-2</v>
      </c>
    </row>
    <row r="505" spans="1:1" x14ac:dyDescent="0.25">
      <c r="A505" s="15" t="s">
        <v>155</v>
      </c>
    </row>
    <row r="506" spans="1:1" x14ac:dyDescent="0.25">
      <c r="A506" s="15">
        <v>3.3000000000000002E-2</v>
      </c>
    </row>
    <row r="507" spans="1:1" x14ac:dyDescent="0.25">
      <c r="A507" s="15" t="s">
        <v>156</v>
      </c>
    </row>
    <row r="508" spans="1:1" x14ac:dyDescent="0.25">
      <c r="A508" s="15">
        <v>0.03</v>
      </c>
    </row>
    <row r="509" spans="1:1" x14ac:dyDescent="0.25">
      <c r="A509" s="15" t="s">
        <v>157</v>
      </c>
    </row>
    <row r="510" spans="1:1" x14ac:dyDescent="0.25">
      <c r="A510" s="15">
        <v>3.1E-2</v>
      </c>
    </row>
    <row r="511" spans="1:1" x14ac:dyDescent="0.25">
      <c r="A511" s="15" t="s">
        <v>158</v>
      </c>
    </row>
    <row r="512" spans="1:1" x14ac:dyDescent="0.25">
      <c r="A512" s="15">
        <v>3.1E-2</v>
      </c>
    </row>
    <row r="513" spans="1:4" x14ac:dyDescent="0.25">
      <c r="A513" s="15" t="s">
        <v>159</v>
      </c>
      <c r="B513" s="15"/>
      <c r="C513" s="15"/>
      <c r="D513" s="15"/>
    </row>
    <row r="514" spans="1:4" x14ac:dyDescent="0.25">
      <c r="A514" s="15">
        <v>2.3E-2</v>
      </c>
      <c r="B514" s="15"/>
      <c r="C514" s="15"/>
      <c r="D514" s="15"/>
    </row>
    <row r="515" spans="1:4" x14ac:dyDescent="0.25">
      <c r="A515" s="15" t="s">
        <v>160</v>
      </c>
      <c r="B515" s="15"/>
      <c r="C515" s="15"/>
      <c r="D515" s="15"/>
    </row>
    <row r="516" spans="1:4" x14ac:dyDescent="0.25">
      <c r="A516" s="15">
        <v>0.02</v>
      </c>
      <c r="B516" s="15"/>
      <c r="C516" s="15"/>
      <c r="D516" s="15"/>
    </row>
    <row r="517" spans="1:4" x14ac:dyDescent="0.25">
      <c r="A517" s="15"/>
      <c r="B517" s="15"/>
      <c r="C517" s="15"/>
      <c r="D517" s="15"/>
    </row>
    <row r="518" spans="1:4" x14ac:dyDescent="0.25">
      <c r="A518" t="s">
        <v>137</v>
      </c>
      <c r="B518" s="15"/>
      <c r="C518" s="15"/>
      <c r="D518" s="15"/>
    </row>
    <row r="519" spans="1:4" x14ac:dyDescent="0.25">
      <c r="A519" s="15"/>
      <c r="B519" s="15"/>
      <c r="C519" s="15"/>
      <c r="D519" s="15"/>
    </row>
    <row r="520" spans="1:4" x14ac:dyDescent="0.25">
      <c r="A520" t="s">
        <v>161</v>
      </c>
      <c r="B520" s="15"/>
      <c r="C520" s="15"/>
      <c r="D520" s="15"/>
    </row>
    <row r="521" spans="1:4" x14ac:dyDescent="0.25">
      <c r="B521" s="15" t="s">
        <v>162</v>
      </c>
      <c r="C521" s="15" t="s">
        <v>163</v>
      </c>
      <c r="D521" s="15" t="s">
        <v>164</v>
      </c>
    </row>
    <row r="522" spans="1:4" x14ac:dyDescent="0.25">
      <c r="A522" t="s">
        <v>165</v>
      </c>
      <c r="B522" s="15">
        <v>0.1153</v>
      </c>
      <c r="C522" s="15">
        <v>0.1153</v>
      </c>
      <c r="D522" s="15">
        <v>0.1037</v>
      </c>
    </row>
    <row r="523" spans="1:4" x14ac:dyDescent="0.25">
      <c r="A523" t="s">
        <v>166</v>
      </c>
      <c r="B523" s="15">
        <v>0.1285</v>
      </c>
      <c r="C523" s="15">
        <v>0.1285</v>
      </c>
      <c r="D523" s="15">
        <v>0.128</v>
      </c>
    </row>
    <row r="524" spans="1:4" x14ac:dyDescent="0.25">
      <c r="A524" t="s">
        <v>167</v>
      </c>
      <c r="B524" s="15">
        <v>0.13139999999999999</v>
      </c>
      <c r="C524" s="15">
        <v>0.13139999999999999</v>
      </c>
      <c r="D524" s="15">
        <v>0.13270000000000001</v>
      </c>
    </row>
    <row r="525" spans="1:4" x14ac:dyDescent="0.25">
      <c r="A525" s="11" t="s">
        <v>168</v>
      </c>
      <c r="B525" s="15">
        <v>0.14000000000000001</v>
      </c>
      <c r="C525" s="15">
        <v>0.14000000000000001</v>
      </c>
      <c r="D525" s="15">
        <v>0.1273</v>
      </c>
    </row>
    <row r="526" spans="1:4" x14ac:dyDescent="0.25">
      <c r="A526" t="s">
        <v>169</v>
      </c>
      <c r="B526" s="15">
        <v>0.14990000000000001</v>
      </c>
      <c r="C526" s="15">
        <v>0.14990000000000001</v>
      </c>
      <c r="D526" s="15">
        <v>0.15040000000000001</v>
      </c>
    </row>
    <row r="527" spans="1:4" x14ac:dyDescent="0.25">
      <c r="A527" t="s">
        <v>170</v>
      </c>
      <c r="B527" s="15">
        <v>0.1515</v>
      </c>
      <c r="C527" s="15">
        <v>0.1515</v>
      </c>
      <c r="D527" s="15">
        <v>0.15459999999999999</v>
      </c>
    </row>
    <row r="528" spans="1:4" x14ac:dyDescent="0.25">
      <c r="A528" s="11" t="s">
        <v>171</v>
      </c>
      <c r="B528" s="15">
        <v>0.15260000000000001</v>
      </c>
      <c r="C528" s="15">
        <v>0.15260000000000001</v>
      </c>
      <c r="D528" s="15">
        <v>0.14940000000000001</v>
      </c>
    </row>
    <row r="529" spans="1:4" x14ac:dyDescent="0.25">
      <c r="A529" t="s">
        <v>172</v>
      </c>
      <c r="B529" s="15">
        <v>0.17929999999999999</v>
      </c>
      <c r="C529" s="15">
        <v>0.17929999999999999</v>
      </c>
      <c r="D529" s="15">
        <v>0.28000000000000003</v>
      </c>
    </row>
    <row r="530" spans="1:4" x14ac:dyDescent="0.25">
      <c r="A530" t="s">
        <v>173</v>
      </c>
      <c r="B530" s="15">
        <v>0.2248</v>
      </c>
      <c r="C530" s="15">
        <v>0.2248</v>
      </c>
      <c r="D530" s="15">
        <v>0.2273</v>
      </c>
    </row>
    <row r="531" spans="1:4" x14ac:dyDescent="0.25">
      <c r="A531" t="s">
        <v>174</v>
      </c>
      <c r="B531" s="15"/>
      <c r="C531" s="15"/>
      <c r="D531" s="15"/>
    </row>
    <row r="532" spans="1:4" x14ac:dyDescent="0.25">
      <c r="A532" t="s">
        <v>175</v>
      </c>
      <c r="B532" s="15"/>
      <c r="C532" s="15"/>
      <c r="D532" s="15"/>
    </row>
    <row r="533" spans="1:4" x14ac:dyDescent="0.25">
      <c r="A533" t="s">
        <v>401</v>
      </c>
      <c r="B533" s="15"/>
      <c r="C533" s="15"/>
      <c r="D533" s="15"/>
    </row>
    <row r="534" spans="1:4" x14ac:dyDescent="0.25">
      <c r="A534" s="11">
        <v>42068</v>
      </c>
    </row>
    <row r="535" spans="1:4" x14ac:dyDescent="0.25">
      <c r="A535" t="s">
        <v>176</v>
      </c>
    </row>
    <row r="536" spans="1:4" x14ac:dyDescent="0.25">
      <c r="A536" t="s">
        <v>177</v>
      </c>
    </row>
    <row r="537" spans="1:4" x14ac:dyDescent="0.25">
      <c r="A537" s="11" t="s">
        <v>178</v>
      </c>
    </row>
    <row r="538" spans="1:4" x14ac:dyDescent="0.25">
      <c r="A538" t="s">
        <v>89</v>
      </c>
    </row>
    <row r="539" spans="1:4" x14ac:dyDescent="0.25">
      <c r="A539" t="s">
        <v>179</v>
      </c>
    </row>
    <row r="540" spans="1:4" x14ac:dyDescent="0.25">
      <c r="A540" t="s">
        <v>178</v>
      </c>
    </row>
    <row r="541" spans="1:4" x14ac:dyDescent="0.25">
      <c r="A541" t="s">
        <v>180</v>
      </c>
    </row>
    <row r="542" spans="1:4" x14ac:dyDescent="0.25">
      <c r="A542" t="s">
        <v>181</v>
      </c>
    </row>
    <row r="543" spans="1:4" x14ac:dyDescent="0.25">
      <c r="A543" t="s">
        <v>182</v>
      </c>
    </row>
    <row r="544" spans="1:4" x14ac:dyDescent="0.25">
      <c r="A544" t="s">
        <v>176</v>
      </c>
    </row>
    <row r="546" spans="1:1" x14ac:dyDescent="0.25">
      <c r="A546" t="s">
        <v>89</v>
      </c>
    </row>
    <row r="548" spans="1:1" x14ac:dyDescent="0.25">
      <c r="A548" t="s">
        <v>180</v>
      </c>
    </row>
    <row r="550" spans="1:1" x14ac:dyDescent="0.25">
      <c r="A550" t="s">
        <v>183</v>
      </c>
    </row>
    <row r="552" spans="1:1" x14ac:dyDescent="0.25">
      <c r="A552" t="s">
        <v>184</v>
      </c>
    </row>
    <row r="554" spans="1:1" x14ac:dyDescent="0.25">
      <c r="A554" t="s">
        <v>185</v>
      </c>
    </row>
    <row r="555" spans="1:1" x14ac:dyDescent="0.25">
      <c r="A555" t="s">
        <v>402</v>
      </c>
    </row>
    <row r="557" spans="1:1" x14ac:dyDescent="0.25">
      <c r="A557" t="s">
        <v>403</v>
      </c>
    </row>
    <row r="559" spans="1:1" x14ac:dyDescent="0.25">
      <c r="A559" t="s">
        <v>404</v>
      </c>
    </row>
    <row r="561" spans="1:1" x14ac:dyDescent="0.25">
      <c r="A561" t="s">
        <v>186</v>
      </c>
    </row>
    <row r="563" spans="1:1" x14ac:dyDescent="0.25">
      <c r="A563" t="s">
        <v>187</v>
      </c>
    </row>
    <row r="565" spans="1:1" x14ac:dyDescent="0.25">
      <c r="A565" t="s">
        <v>405</v>
      </c>
    </row>
    <row r="567" spans="1:1" x14ac:dyDescent="0.25">
      <c r="A567" t="s">
        <v>415</v>
      </c>
    </row>
    <row r="569" spans="1:1" x14ac:dyDescent="0.25">
      <c r="A569" t="s">
        <v>406</v>
      </c>
    </row>
    <row r="571" spans="1:1" x14ac:dyDescent="0.25">
      <c r="A571" t="s">
        <v>186</v>
      </c>
    </row>
    <row r="573" spans="1:1" x14ac:dyDescent="0.25">
      <c r="A573" t="s">
        <v>188</v>
      </c>
    </row>
    <row r="575" spans="1:1" x14ac:dyDescent="0.25">
      <c r="A575" t="s">
        <v>407</v>
      </c>
    </row>
    <row r="577" spans="1:1" x14ac:dyDescent="0.25">
      <c r="A577" t="s">
        <v>186</v>
      </c>
    </row>
    <row r="579" spans="1:1" x14ac:dyDescent="0.25">
      <c r="A579" t="s">
        <v>189</v>
      </c>
    </row>
    <row r="581" spans="1:1" x14ac:dyDescent="0.25">
      <c r="A581" t="s">
        <v>408</v>
      </c>
    </row>
    <row r="583" spans="1:1" x14ac:dyDescent="0.25">
      <c r="A583" t="s">
        <v>190</v>
      </c>
    </row>
    <row r="585" spans="1:1" x14ac:dyDescent="0.25">
      <c r="A585" t="s">
        <v>192</v>
      </c>
    </row>
    <row r="587" spans="1:1" x14ac:dyDescent="0.25">
      <c r="A587" t="s">
        <v>186</v>
      </c>
    </row>
    <row r="589" spans="1:1" x14ac:dyDescent="0.25">
      <c r="A589" t="s">
        <v>191</v>
      </c>
    </row>
    <row r="591" spans="1:1" x14ac:dyDescent="0.25">
      <c r="A591" t="s">
        <v>409</v>
      </c>
    </row>
    <row r="593" spans="1:1" x14ac:dyDescent="0.25">
      <c r="A593" t="s">
        <v>186</v>
      </c>
    </row>
    <row r="595" spans="1:1" x14ac:dyDescent="0.25">
      <c r="A595" s="15" t="s">
        <v>193</v>
      </c>
    </row>
    <row r="597" spans="1:1" x14ac:dyDescent="0.25">
      <c r="A597" s="15" t="s">
        <v>195</v>
      </c>
    </row>
    <row r="599" spans="1:1" x14ac:dyDescent="0.25">
      <c r="A599" s="15" t="s">
        <v>194</v>
      </c>
    </row>
    <row r="601" spans="1:1" x14ac:dyDescent="0.25">
      <c r="A601" s="15" t="s">
        <v>197</v>
      </c>
    </row>
    <row r="603" spans="1:1" x14ac:dyDescent="0.25">
      <c r="A603" s="15" t="s">
        <v>186</v>
      </c>
    </row>
    <row r="605" spans="1:1" x14ac:dyDescent="0.25">
      <c r="A605" s="15" t="s">
        <v>196</v>
      </c>
    </row>
    <row r="607" spans="1:1" x14ac:dyDescent="0.25">
      <c r="A607" s="15" t="s">
        <v>199</v>
      </c>
    </row>
    <row r="609" spans="1:1" x14ac:dyDescent="0.25">
      <c r="A609" s="15" t="s">
        <v>198</v>
      </c>
    </row>
    <row r="611" spans="1:1" x14ac:dyDescent="0.25">
      <c r="A611" t="s">
        <v>410</v>
      </c>
    </row>
    <row r="613" spans="1:1" x14ac:dyDescent="0.25">
      <c r="A613" t="s">
        <v>186</v>
      </c>
    </row>
    <row r="614" spans="1:1" x14ac:dyDescent="0.25">
      <c r="A614" s="15"/>
    </row>
    <row r="615" spans="1:1" x14ac:dyDescent="0.25">
      <c r="A615" t="s">
        <v>200</v>
      </c>
    </row>
    <row r="616" spans="1:1" x14ac:dyDescent="0.25">
      <c r="A616" s="15"/>
    </row>
    <row r="617" spans="1:1" x14ac:dyDescent="0.25">
      <c r="A617" t="s">
        <v>202</v>
      </c>
    </row>
    <row r="618" spans="1:1" x14ac:dyDescent="0.25">
      <c r="A618" s="15"/>
    </row>
    <row r="619" spans="1:1" x14ac:dyDescent="0.25">
      <c r="A619" t="s">
        <v>201</v>
      </c>
    </row>
    <row r="620" spans="1:1" x14ac:dyDescent="0.25">
      <c r="A620" s="15"/>
    </row>
    <row r="621" spans="1:1" x14ac:dyDescent="0.25">
      <c r="A621" s="17" t="s">
        <v>204</v>
      </c>
    </row>
    <row r="622" spans="1:1" x14ac:dyDescent="0.25">
      <c r="A622" s="15"/>
    </row>
    <row r="623" spans="1:1" x14ac:dyDescent="0.25">
      <c r="A623" s="15" t="s">
        <v>203</v>
      </c>
    </row>
    <row r="624" spans="1:1" x14ac:dyDescent="0.25">
      <c r="A624" s="15"/>
    </row>
    <row r="625" spans="1:1" x14ac:dyDescent="0.25">
      <c r="A625" t="s">
        <v>411</v>
      </c>
    </row>
    <row r="626" spans="1:1" x14ac:dyDescent="0.25">
      <c r="A626" s="15"/>
    </row>
    <row r="627" spans="1:1" x14ac:dyDescent="0.25">
      <c r="A627" t="s">
        <v>186</v>
      </c>
    </row>
    <row r="628" spans="1:1" x14ac:dyDescent="0.25">
      <c r="A628" s="15"/>
    </row>
    <row r="629" spans="1:1" x14ac:dyDescent="0.25">
      <c r="A629" t="s">
        <v>205</v>
      </c>
    </row>
    <row r="631" spans="1:1" x14ac:dyDescent="0.25">
      <c r="A631" t="s">
        <v>207</v>
      </c>
    </row>
    <row r="633" spans="1:1" x14ac:dyDescent="0.25">
      <c r="A633" s="15" t="s">
        <v>186</v>
      </c>
    </row>
    <row r="635" spans="1:1" x14ac:dyDescent="0.25">
      <c r="A635" s="15" t="s">
        <v>206</v>
      </c>
    </row>
    <row r="636" spans="1:1" x14ac:dyDescent="0.25">
      <c r="A636" s="17"/>
    </row>
    <row r="637" spans="1:1" x14ac:dyDescent="0.25">
      <c r="A637" s="15" t="s">
        <v>412</v>
      </c>
    </row>
    <row r="638" spans="1:1" x14ac:dyDescent="0.25">
      <c r="A638" s="15"/>
    </row>
    <row r="639" spans="1:1" x14ac:dyDescent="0.25">
      <c r="A639" s="15" t="s">
        <v>208</v>
      </c>
    </row>
    <row r="640" spans="1:1" x14ac:dyDescent="0.25">
      <c r="A640" s="17"/>
    </row>
    <row r="641" spans="1:1" x14ac:dyDescent="0.25">
      <c r="A641" s="15" t="s">
        <v>413</v>
      </c>
    </row>
    <row r="642" spans="1:1" x14ac:dyDescent="0.25">
      <c r="A642" s="15"/>
    </row>
    <row r="643" spans="1:1" x14ac:dyDescent="0.25">
      <c r="A643" s="15" t="s">
        <v>209</v>
      </c>
    </row>
    <row r="645" spans="1:1" x14ac:dyDescent="0.25">
      <c r="A645" s="15" t="s">
        <v>414</v>
      </c>
    </row>
    <row r="647" spans="1:1" x14ac:dyDescent="0.25">
      <c r="A647" s="17" t="s">
        <v>210</v>
      </c>
    </row>
    <row r="649" spans="1:1" x14ac:dyDescent="0.25">
      <c r="A649" s="15" t="s">
        <v>211</v>
      </c>
    </row>
    <row r="650" spans="1:1" x14ac:dyDescent="0.25">
      <c r="A650" s="15"/>
    </row>
    <row r="651" spans="1:1" x14ac:dyDescent="0.25">
      <c r="A651" t="s">
        <v>212</v>
      </c>
    </row>
    <row r="652" spans="1:1" x14ac:dyDescent="0.25">
      <c r="A652" s="15"/>
    </row>
    <row r="653" spans="1:1" x14ac:dyDescent="0.25">
      <c r="A653" t="s">
        <v>124</v>
      </c>
    </row>
    <row r="654" spans="1:1" x14ac:dyDescent="0.25">
      <c r="A654" s="15"/>
    </row>
    <row r="655" spans="1:1" x14ac:dyDescent="0.25">
      <c r="A655" t="s">
        <v>213</v>
      </c>
    </row>
    <row r="656" spans="1:1" x14ac:dyDescent="0.25">
      <c r="A656" s="15"/>
    </row>
    <row r="657" spans="1:4" x14ac:dyDescent="0.25">
      <c r="A657" t="s">
        <v>214</v>
      </c>
    </row>
    <row r="658" spans="1:4" x14ac:dyDescent="0.25">
      <c r="A658" s="15">
        <v>18145.47</v>
      </c>
    </row>
    <row r="659" spans="1:4" x14ac:dyDescent="0.25">
      <c r="A659">
        <v>48.57</v>
      </c>
    </row>
    <row r="660" spans="1:4" x14ac:dyDescent="0.25">
      <c r="A660" s="15">
        <v>2.7000000000000001E-3</v>
      </c>
    </row>
    <row r="661" spans="1:4" x14ac:dyDescent="0.25">
      <c r="A661" s="17"/>
    </row>
    <row r="662" spans="1:4" x14ac:dyDescent="0.25">
      <c r="A662" s="15" t="s">
        <v>215</v>
      </c>
    </row>
    <row r="663" spans="1:4" x14ac:dyDescent="0.25">
      <c r="A663" s="15"/>
    </row>
    <row r="664" spans="1:4" x14ac:dyDescent="0.25">
      <c r="A664" s="15" t="s">
        <v>216</v>
      </c>
    </row>
    <row r="665" spans="1:4" x14ac:dyDescent="0.25">
      <c r="A665" s="17">
        <v>4989.6499999999996</v>
      </c>
    </row>
    <row r="666" spans="1:4" x14ac:dyDescent="0.25">
      <c r="A666">
        <v>22.51</v>
      </c>
    </row>
    <row r="667" spans="1:4" x14ac:dyDescent="0.25">
      <c r="A667" s="15">
        <v>4.4999999999999997E-3</v>
      </c>
    </row>
    <row r="668" spans="1:4" x14ac:dyDescent="0.25">
      <c r="A668" s="17"/>
    </row>
    <row r="669" spans="1:4" x14ac:dyDescent="0.25">
      <c r="A669" t="s">
        <v>217</v>
      </c>
    </row>
    <row r="670" spans="1:4" x14ac:dyDescent="0.25">
      <c r="A670" s="15"/>
      <c r="B670" s="15"/>
      <c r="C670" s="15"/>
      <c r="D670" s="15"/>
    </row>
    <row r="671" spans="1:4" x14ac:dyDescent="0.25">
      <c r="A671" t="s">
        <v>218</v>
      </c>
      <c r="B671" s="15"/>
      <c r="C671" s="15"/>
      <c r="D671" s="15"/>
    </row>
    <row r="672" spans="1:4" x14ac:dyDescent="0.25">
      <c r="A672" s="17">
        <v>2103.12</v>
      </c>
      <c r="B672" s="15"/>
      <c r="C672" s="15"/>
      <c r="D672" s="15"/>
    </row>
    <row r="673" spans="1:4" x14ac:dyDescent="0.25">
      <c r="A673">
        <v>4.59</v>
      </c>
      <c r="B673" s="15"/>
      <c r="C673" s="15"/>
      <c r="D673" s="15"/>
    </row>
    <row r="674" spans="1:4" x14ac:dyDescent="0.25">
      <c r="A674" s="15">
        <v>2.2000000000000001E-3</v>
      </c>
      <c r="B674" s="15"/>
      <c r="C674" s="15"/>
      <c r="D674" s="15"/>
    </row>
    <row r="675" spans="1:4" x14ac:dyDescent="0.25">
      <c r="A675" s="17"/>
      <c r="B675" s="15"/>
      <c r="C675" s="15"/>
      <c r="D675" s="15"/>
    </row>
    <row r="676" spans="1:4" x14ac:dyDescent="0.25">
      <c r="A676" t="s">
        <v>219</v>
      </c>
      <c r="B676" s="15"/>
      <c r="C676" s="15"/>
      <c r="D676" s="15"/>
    </row>
    <row r="677" spans="1:4" x14ac:dyDescent="0.25">
      <c r="A677" s="15"/>
      <c r="B677" s="15"/>
      <c r="C677" s="15"/>
      <c r="D677" s="15"/>
    </row>
    <row r="678" spans="1:4" x14ac:dyDescent="0.25">
      <c r="A678">
        <v>1363586400000</v>
      </c>
      <c r="B678" s="15"/>
      <c r="C678" s="15"/>
      <c r="D678" s="15"/>
    </row>
    <row r="679" spans="1:4" x14ac:dyDescent="0.25">
      <c r="A679">
        <v>1363586400000</v>
      </c>
    </row>
    <row r="681" spans="1:4" x14ac:dyDescent="0.25">
      <c r="A681" t="s">
        <v>220</v>
      </c>
    </row>
    <row r="682" spans="1:4" x14ac:dyDescent="0.25">
      <c r="A682" s="11"/>
    </row>
    <row r="683" spans="1:4" x14ac:dyDescent="0.25">
      <c r="A683" t="s">
        <v>221</v>
      </c>
    </row>
    <row r="684" spans="1:4" x14ac:dyDescent="0.25">
      <c r="A684" t="s">
        <v>222</v>
      </c>
    </row>
    <row r="685" spans="1:4" x14ac:dyDescent="0.25">
      <c r="A685" t="s">
        <v>223</v>
      </c>
    </row>
    <row r="686" spans="1:4" x14ac:dyDescent="0.25">
      <c r="A686" t="s">
        <v>224</v>
      </c>
    </row>
    <row r="687" spans="1:4" x14ac:dyDescent="0.25">
      <c r="A687" t="s">
        <v>225</v>
      </c>
    </row>
    <row r="688" spans="1:4" x14ac:dyDescent="0.25">
      <c r="A688" t="s">
        <v>226</v>
      </c>
    </row>
    <row r="689" spans="1:1" x14ac:dyDescent="0.25">
      <c r="A689">
        <v>1365573600000</v>
      </c>
    </row>
    <row r="690" spans="1:1" x14ac:dyDescent="0.25">
      <c r="A690">
        <v>1365573600000</v>
      </c>
    </row>
    <row r="692" spans="1:1" x14ac:dyDescent="0.25">
      <c r="A692" t="s">
        <v>227</v>
      </c>
    </row>
    <row r="694" spans="1:1" x14ac:dyDescent="0.25">
      <c r="A694" t="s">
        <v>228</v>
      </c>
    </row>
    <row r="695" spans="1:1" x14ac:dyDescent="0.25">
      <c r="A695" t="s">
        <v>229</v>
      </c>
    </row>
    <row r="696" spans="1:1" x14ac:dyDescent="0.25">
      <c r="A696" t="s">
        <v>230</v>
      </c>
    </row>
    <row r="697" spans="1:1" x14ac:dyDescent="0.25">
      <c r="A697" t="s">
        <v>231</v>
      </c>
    </row>
    <row r="698" spans="1:1" x14ac:dyDescent="0.25">
      <c r="A698" t="s">
        <v>232</v>
      </c>
    </row>
    <row r="699" spans="1:1" x14ac:dyDescent="0.25">
      <c r="A699" t="s">
        <v>233</v>
      </c>
    </row>
    <row r="700" spans="1:1" x14ac:dyDescent="0.25">
      <c r="A700">
        <v>1363672800000</v>
      </c>
    </row>
    <row r="701" spans="1:1" x14ac:dyDescent="0.25">
      <c r="A701">
        <v>1363672800000</v>
      </c>
    </row>
    <row r="703" spans="1:1" x14ac:dyDescent="0.25">
      <c r="A703" t="s">
        <v>234</v>
      </c>
    </row>
    <row r="705" spans="1:1" x14ac:dyDescent="0.25">
      <c r="A705" t="s">
        <v>235</v>
      </c>
    </row>
    <row r="706" spans="1:1" x14ac:dyDescent="0.25">
      <c r="A706" t="s">
        <v>236</v>
      </c>
    </row>
    <row r="707" spans="1:1" x14ac:dyDescent="0.25">
      <c r="A707" t="s">
        <v>237</v>
      </c>
    </row>
    <row r="708" spans="1:1" x14ac:dyDescent="0.25">
      <c r="A708" t="s">
        <v>238</v>
      </c>
    </row>
    <row r="709" spans="1:1" x14ac:dyDescent="0.25">
      <c r="A709" t="s">
        <v>239</v>
      </c>
    </row>
    <row r="710" spans="1:1" x14ac:dyDescent="0.25">
      <c r="A710" t="s">
        <v>240</v>
      </c>
    </row>
    <row r="711" spans="1:1" x14ac:dyDescent="0.25">
      <c r="A711">
        <v>1363327200000</v>
      </c>
    </row>
    <row r="712" spans="1:1" x14ac:dyDescent="0.25">
      <c r="A712">
        <v>1363327200000</v>
      </c>
    </row>
    <row r="714" spans="1:1" x14ac:dyDescent="0.25">
      <c r="A714" t="s">
        <v>241</v>
      </c>
    </row>
    <row r="716" spans="1:1" x14ac:dyDescent="0.25">
      <c r="A716" t="s">
        <v>228</v>
      </c>
    </row>
    <row r="717" spans="1:1" x14ac:dyDescent="0.25">
      <c r="A717" t="s">
        <v>242</v>
      </c>
    </row>
    <row r="718" spans="1:1" x14ac:dyDescent="0.25">
      <c r="A718" t="s">
        <v>243</v>
      </c>
    </row>
    <row r="719" spans="1:1" x14ac:dyDescent="0.25">
      <c r="A719" t="s">
        <v>244</v>
      </c>
    </row>
    <row r="720" spans="1:1" x14ac:dyDescent="0.25">
      <c r="A720" t="s">
        <v>245</v>
      </c>
    </row>
    <row r="721" spans="1:1" x14ac:dyDescent="0.25">
      <c r="A721" t="s">
        <v>246</v>
      </c>
    </row>
    <row r="722" spans="1:1" x14ac:dyDescent="0.25">
      <c r="A722">
        <v>1353909600000</v>
      </c>
    </row>
    <row r="723" spans="1:1" x14ac:dyDescent="0.25">
      <c r="A723">
        <v>1353909600000</v>
      </c>
    </row>
    <row r="725" spans="1:1" x14ac:dyDescent="0.25">
      <c r="A725" t="s">
        <v>247</v>
      </c>
    </row>
    <row r="727" spans="1:1" x14ac:dyDescent="0.25">
      <c r="A727" t="s">
        <v>248</v>
      </c>
    </row>
    <row r="728" spans="1:1" x14ac:dyDescent="0.25">
      <c r="A728" t="s">
        <v>249</v>
      </c>
    </row>
    <row r="729" spans="1:1" x14ac:dyDescent="0.25">
      <c r="A729" t="s">
        <v>250</v>
      </c>
    </row>
    <row r="730" spans="1:1" x14ac:dyDescent="0.25">
      <c r="A730" t="s">
        <v>251</v>
      </c>
    </row>
    <row r="732" spans="1:1" x14ac:dyDescent="0.25">
      <c r="A732" t="s">
        <v>252</v>
      </c>
    </row>
    <row r="734" spans="1:1" x14ac:dyDescent="0.25">
      <c r="A734" t="s">
        <v>253</v>
      </c>
    </row>
    <row r="736" spans="1:1" x14ac:dyDescent="0.25">
      <c r="A736" t="s">
        <v>254</v>
      </c>
    </row>
    <row r="737" spans="1:1" x14ac:dyDescent="0.25">
      <c r="A737" t="s">
        <v>255</v>
      </c>
    </row>
    <row r="738" spans="1:1" x14ac:dyDescent="0.25">
      <c r="A738" t="s">
        <v>256</v>
      </c>
    </row>
    <row r="739" spans="1:1" x14ac:dyDescent="0.25">
      <c r="A739" t="s">
        <v>257</v>
      </c>
    </row>
    <row r="740" spans="1:1" x14ac:dyDescent="0.25">
      <c r="A740" t="s">
        <v>258</v>
      </c>
    </row>
    <row r="741" spans="1:1" x14ac:dyDescent="0.25">
      <c r="A741" t="s">
        <v>259</v>
      </c>
    </row>
    <row r="742" spans="1:1" x14ac:dyDescent="0.25">
      <c r="A742" t="s">
        <v>260</v>
      </c>
    </row>
    <row r="743" spans="1:1" x14ac:dyDescent="0.25">
      <c r="A743" t="s">
        <v>261</v>
      </c>
    </row>
    <row r="745" spans="1:1" x14ac:dyDescent="0.25">
      <c r="A745" t="s">
        <v>262</v>
      </c>
    </row>
    <row r="746" spans="1:1" x14ac:dyDescent="0.25">
      <c r="A746" t="s">
        <v>263</v>
      </c>
    </row>
    <row r="747" spans="1:1" x14ac:dyDescent="0.25">
      <c r="A747" t="s">
        <v>264</v>
      </c>
    </row>
    <row r="748" spans="1:1" x14ac:dyDescent="0.25">
      <c r="A748" t="s">
        <v>265</v>
      </c>
    </row>
    <row r="749" spans="1:1" x14ac:dyDescent="0.25">
      <c r="A749" t="s">
        <v>266</v>
      </c>
    </row>
    <row r="750" spans="1:1" x14ac:dyDescent="0.25">
      <c r="A750" t="s">
        <v>267</v>
      </c>
    </row>
    <row r="751" spans="1:1" x14ac:dyDescent="0.25">
      <c r="A751" t="s">
        <v>268</v>
      </c>
    </row>
    <row r="752" spans="1:1" x14ac:dyDescent="0.25">
      <c r="A752" t="s">
        <v>269</v>
      </c>
    </row>
    <row r="754" spans="1:1" x14ac:dyDescent="0.25">
      <c r="A754" t="s">
        <v>270</v>
      </c>
    </row>
    <row r="755" spans="1:1" x14ac:dyDescent="0.25">
      <c r="A755" t="s">
        <v>271</v>
      </c>
    </row>
    <row r="756" spans="1:1" x14ac:dyDescent="0.25">
      <c r="A756" t="s">
        <v>272</v>
      </c>
    </row>
    <row r="757" spans="1:1" x14ac:dyDescent="0.25">
      <c r="A757" t="s">
        <v>273</v>
      </c>
    </row>
    <row r="759" spans="1:1" x14ac:dyDescent="0.25">
      <c r="A759" t="s">
        <v>274</v>
      </c>
    </row>
    <row r="760" spans="1:1" x14ac:dyDescent="0.25">
      <c r="A760" t="s">
        <v>275</v>
      </c>
    </row>
    <row r="761" spans="1:1" x14ac:dyDescent="0.25">
      <c r="A761" t="s">
        <v>276</v>
      </c>
    </row>
    <row r="762" spans="1:1" x14ac:dyDescent="0.25">
      <c r="A762" t="s">
        <v>277</v>
      </c>
    </row>
    <row r="764" spans="1:1" x14ac:dyDescent="0.25">
      <c r="A764" t="s">
        <v>278</v>
      </c>
    </row>
    <row r="765" spans="1:1" x14ac:dyDescent="0.25">
      <c r="A765" t="s">
        <v>279</v>
      </c>
    </row>
    <row r="766" spans="1:1" x14ac:dyDescent="0.25">
      <c r="A766" t="s">
        <v>280</v>
      </c>
    </row>
    <row r="768" spans="1:1" x14ac:dyDescent="0.25">
      <c r="A768" t="s">
        <v>281</v>
      </c>
    </row>
    <row r="769" spans="1:1" x14ac:dyDescent="0.25">
      <c r="A769" t="s">
        <v>282</v>
      </c>
    </row>
    <row r="771" spans="1:1" x14ac:dyDescent="0.25">
      <c r="A771" t="s">
        <v>283</v>
      </c>
    </row>
    <row r="773" spans="1:1" x14ac:dyDescent="0.25">
      <c r="A773" t="s">
        <v>284</v>
      </c>
    </row>
    <row r="774" spans="1:1" x14ac:dyDescent="0.25">
      <c r="A774" t="s">
        <v>285</v>
      </c>
    </row>
    <row r="776" spans="1:1" x14ac:dyDescent="0.25">
      <c r="A776" t="s">
        <v>286</v>
      </c>
    </row>
    <row r="778" spans="1:1" x14ac:dyDescent="0.25">
      <c r="A778" t="s">
        <v>287</v>
      </c>
    </row>
    <row r="780" spans="1:1" x14ac:dyDescent="0.25">
      <c r="A780" t="s">
        <v>288</v>
      </c>
    </row>
    <row r="782" spans="1:1" x14ac:dyDescent="0.25">
      <c r="A782" t="s">
        <v>289</v>
      </c>
    </row>
    <row r="784" spans="1:1" x14ac:dyDescent="0.25">
      <c r="A784" t="s">
        <v>290</v>
      </c>
    </row>
    <row r="786" spans="1:1" x14ac:dyDescent="0.25">
      <c r="A786" t="s">
        <v>291</v>
      </c>
    </row>
    <row r="788" spans="1:1" x14ac:dyDescent="0.25">
      <c r="A788" t="s">
        <v>286</v>
      </c>
    </row>
    <row r="790" spans="1:1" x14ac:dyDescent="0.25">
      <c r="A790" s="17" t="s">
        <v>287</v>
      </c>
    </row>
    <row r="792" spans="1:1" x14ac:dyDescent="0.25">
      <c r="A792" s="15" t="s">
        <v>288</v>
      </c>
    </row>
    <row r="794" spans="1:1" x14ac:dyDescent="0.25">
      <c r="A794" t="s">
        <v>289</v>
      </c>
    </row>
    <row r="796" spans="1:1" x14ac:dyDescent="0.25">
      <c r="A796" t="s">
        <v>292</v>
      </c>
    </row>
    <row r="797" spans="1:1" x14ac:dyDescent="0.25">
      <c r="A797" s="17"/>
    </row>
    <row r="799" spans="1:1" x14ac:dyDescent="0.25">
      <c r="A799" s="15" t="s">
        <v>293</v>
      </c>
    </row>
    <row r="801" spans="1:1" x14ac:dyDescent="0.25">
      <c r="A801" t="s">
        <v>294</v>
      </c>
    </row>
    <row r="803" spans="1:1" x14ac:dyDescent="0.25">
      <c r="A803" t="s">
        <v>295</v>
      </c>
    </row>
    <row r="804" spans="1:1" x14ac:dyDescent="0.25">
      <c r="A804" s="17"/>
    </row>
    <row r="806" spans="1:1" x14ac:dyDescent="0.25">
      <c r="A806" s="15"/>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BB4"/>
  <sheetViews>
    <sheetView tabSelected="1" zoomScale="55" zoomScaleNormal="55" workbookViewId="0">
      <selection activeCell="A2" sqref="A2:D3"/>
    </sheetView>
  </sheetViews>
  <sheetFormatPr defaultColWidth="23.42578125" defaultRowHeight="15" x14ac:dyDescent="0.25"/>
  <sheetData>
    <row r="1" spans="1:54" x14ac:dyDescent="0.25">
      <c r="A1" s="9" t="s">
        <v>18</v>
      </c>
      <c r="B1" s="9" t="s">
        <v>29</v>
      </c>
      <c r="C1" s="9" t="s">
        <v>30</v>
      </c>
      <c r="D1" s="9" t="s">
        <v>31</v>
      </c>
      <c r="E1" s="9" t="s">
        <v>22</v>
      </c>
      <c r="F1" s="9" t="s">
        <v>37</v>
      </c>
      <c r="G1" s="9" t="s">
        <v>24</v>
      </c>
      <c r="H1" s="9" t="s">
        <v>39</v>
      </c>
      <c r="I1" s="9" t="s">
        <v>40</v>
      </c>
      <c r="J1" s="12" t="s">
        <v>41</v>
      </c>
      <c r="K1" s="12" t="s">
        <v>42</v>
      </c>
      <c r="Y1" t="s">
        <v>15</v>
      </c>
      <c r="Z1">
        <v>59</v>
      </c>
      <c r="AA1">
        <v>132</v>
      </c>
      <c r="BB1">
        <v>93</v>
      </c>
    </row>
    <row r="2" spans="1:54" x14ac:dyDescent="0.25">
      <c r="AA2">
        <v>1</v>
      </c>
      <c r="BB2">
        <v>1</v>
      </c>
    </row>
    <row r="3" spans="1:54" x14ac:dyDescent="0.25">
      <c r="Z3">
        <f>COUNT(A:A)</f>
        <v>0</v>
      </c>
    </row>
    <row r="4" spans="1:54" x14ac:dyDescent="0.25">
      <c r="Y4" t="s">
        <v>19</v>
      </c>
      <c r="Z4">
        <v>420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
  <sheetViews>
    <sheetView zoomScale="55" zoomScaleNormal="55" workbookViewId="0">
      <selection activeCell="A2" sqref="A2:C2"/>
    </sheetView>
  </sheetViews>
  <sheetFormatPr defaultColWidth="13.140625" defaultRowHeight="15" x14ac:dyDescent="0.25"/>
  <sheetData>
    <row r="1" spans="1:26" x14ac:dyDescent="0.25">
      <c r="A1" s="9" t="s">
        <v>18</v>
      </c>
      <c r="B1" s="9" t="s">
        <v>20</v>
      </c>
      <c r="C1" s="9" t="s">
        <v>21</v>
      </c>
      <c r="D1" s="9" t="s">
        <v>23</v>
      </c>
      <c r="E1" s="9" t="s">
        <v>43</v>
      </c>
      <c r="F1" s="9" t="s">
        <v>37</v>
      </c>
      <c r="G1" t="s">
        <v>24</v>
      </c>
      <c r="H1" s="9" t="s">
        <v>25</v>
      </c>
      <c r="I1" s="9" t="s">
        <v>26</v>
      </c>
      <c r="J1" s="12" t="s">
        <v>27</v>
      </c>
      <c r="K1" s="12" t="s">
        <v>28</v>
      </c>
      <c r="Z1">
        <v>59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3"/>
  <sheetViews>
    <sheetView zoomScale="55" zoomScaleNormal="55" workbookViewId="0">
      <selection activeCell="R9" sqref="R9"/>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15</v>
      </c>
      <c r="O1" s="9">
        <v>59</v>
      </c>
      <c r="P1" s="9"/>
      <c r="Q1" s="10" t="s">
        <v>16</v>
      </c>
      <c r="R1" t="s">
        <v>32</v>
      </c>
    </row>
    <row r="2" spans="1:18" x14ac:dyDescent="0.25">
      <c r="A2" s="1">
        <v>1</v>
      </c>
      <c r="B2" s="1" t="s">
        <v>29</v>
      </c>
      <c r="C2" s="1" t="s">
        <v>11</v>
      </c>
      <c r="D2" s="1">
        <v>183.5</v>
      </c>
      <c r="E2" s="1">
        <v>200</v>
      </c>
      <c r="F2" s="1">
        <v>183.79</v>
      </c>
      <c r="G2" s="1">
        <v>300</v>
      </c>
      <c r="H2" s="1">
        <v>7</v>
      </c>
      <c r="I2" s="7">
        <v>9.5761466891562085E-3</v>
      </c>
      <c r="J2" s="6">
        <v>521</v>
      </c>
      <c r="K2" s="1" t="s">
        <v>12</v>
      </c>
      <c r="L2" s="4">
        <v>91501</v>
      </c>
      <c r="N2" s="9"/>
      <c r="O2" s="9"/>
      <c r="P2" s="9"/>
      <c r="Q2" s="9" t="s">
        <v>17</v>
      </c>
      <c r="R2" t="s">
        <v>33</v>
      </c>
    </row>
    <row r="3" spans="1:18" x14ac:dyDescent="0.25">
      <c r="A3" s="1">
        <f>A2+1</f>
        <v>2</v>
      </c>
      <c r="B3" s="9" t="s">
        <v>30</v>
      </c>
      <c r="C3" s="1" t="s">
        <v>11</v>
      </c>
      <c r="D3" s="1">
        <v>31.67</v>
      </c>
      <c r="E3" s="1">
        <v>1000</v>
      </c>
      <c r="F3" s="1">
        <v>31.68</v>
      </c>
      <c r="G3" s="1">
        <v>500</v>
      </c>
      <c r="H3" s="1">
        <v>7</v>
      </c>
      <c r="I3" s="7">
        <v>0.43718434343434348</v>
      </c>
      <c r="J3" s="6">
        <v>6918</v>
      </c>
      <c r="K3" s="1" t="s">
        <v>13</v>
      </c>
      <c r="L3" s="1">
        <v>4</v>
      </c>
      <c r="N3" s="9"/>
      <c r="O3" s="9"/>
      <c r="P3" s="9"/>
      <c r="Q3" s="9" t="s">
        <v>17</v>
      </c>
      <c r="R3" t="s">
        <v>33</v>
      </c>
    </row>
    <row r="4" spans="1:18" x14ac:dyDescent="0.25">
      <c r="A4" s="9">
        <f t="shared" ref="A4:A13" si="0">A3+1</f>
        <v>3</v>
      </c>
      <c r="B4" s="9" t="s">
        <v>31</v>
      </c>
      <c r="C4" s="1" t="s">
        <v>11</v>
      </c>
      <c r="D4" s="1">
        <v>41.85</v>
      </c>
      <c r="E4" s="1">
        <v>200</v>
      </c>
      <c r="F4" s="1">
        <v>41.86</v>
      </c>
      <c r="G4" s="1">
        <v>300</v>
      </c>
      <c r="H4" s="1">
        <v>7</v>
      </c>
      <c r="I4" s="7">
        <v>0.82322025800286658</v>
      </c>
      <c r="J4" s="6">
        <v>10330.999999999996</v>
      </c>
      <c r="K4" s="1" t="s">
        <v>14</v>
      </c>
      <c r="L4" s="2">
        <v>753</v>
      </c>
      <c r="N4" s="9"/>
      <c r="O4" s="9"/>
      <c r="P4" s="9"/>
      <c r="Q4" s="9" t="s">
        <v>17</v>
      </c>
      <c r="R4" t="s">
        <v>34</v>
      </c>
    </row>
    <row r="5" spans="1:18" x14ac:dyDescent="0.25">
      <c r="A5" s="9">
        <f t="shared" si="0"/>
        <v>4</v>
      </c>
      <c r="B5" s="1" t="s">
        <v>43</v>
      </c>
      <c r="C5" s="1" t="s">
        <v>11</v>
      </c>
      <c r="D5" s="1">
        <v>79.290000000000006</v>
      </c>
      <c r="E5" s="1">
        <v>200</v>
      </c>
      <c r="F5" s="1">
        <v>79.38</v>
      </c>
      <c r="G5" s="1">
        <v>100</v>
      </c>
      <c r="H5" s="1">
        <v>7</v>
      </c>
      <c r="I5" s="8">
        <v>-9.6875787351977799E-2</v>
      </c>
      <c r="J5" s="6">
        <v>-776</v>
      </c>
      <c r="K5" s="1"/>
      <c r="L5" s="1"/>
      <c r="N5" s="9"/>
      <c r="O5" s="9"/>
      <c r="P5" s="9"/>
      <c r="Q5" s="9" t="s">
        <v>17</v>
      </c>
      <c r="R5" t="s">
        <v>43</v>
      </c>
    </row>
    <row r="6" spans="1:18" x14ac:dyDescent="0.25">
      <c r="A6" s="9">
        <f t="shared" si="0"/>
        <v>5</v>
      </c>
      <c r="B6" t="s">
        <v>37</v>
      </c>
      <c r="C6" s="9" t="s">
        <v>11</v>
      </c>
      <c r="D6">
        <v>0</v>
      </c>
      <c r="E6">
        <v>0</v>
      </c>
      <c r="F6">
        <v>0</v>
      </c>
      <c r="G6">
        <v>0</v>
      </c>
      <c r="H6">
        <v>7</v>
      </c>
      <c r="Q6" t="s">
        <v>17</v>
      </c>
      <c r="R6" t="s">
        <v>38</v>
      </c>
    </row>
    <row r="7" spans="1:18" x14ac:dyDescent="0.25">
      <c r="A7" s="9">
        <f t="shared" si="0"/>
        <v>6</v>
      </c>
      <c r="B7" t="s">
        <v>35</v>
      </c>
      <c r="C7" s="9" t="s">
        <v>11</v>
      </c>
      <c r="D7" s="9">
        <v>0</v>
      </c>
      <c r="E7" s="9">
        <v>0</v>
      </c>
      <c r="F7" s="9">
        <v>0</v>
      </c>
      <c r="G7" s="9">
        <v>0</v>
      </c>
      <c r="H7" s="9">
        <v>7</v>
      </c>
      <c r="Q7" s="9" t="s">
        <v>17</v>
      </c>
      <c r="R7" t="s">
        <v>36</v>
      </c>
    </row>
    <row r="8" spans="1:18" x14ac:dyDescent="0.25">
      <c r="A8" s="9">
        <f t="shared" si="0"/>
        <v>7</v>
      </c>
      <c r="B8" t="s">
        <v>39</v>
      </c>
      <c r="C8" s="9" t="s">
        <v>11</v>
      </c>
      <c r="D8" s="9">
        <v>0</v>
      </c>
      <c r="E8" s="9">
        <v>0</v>
      </c>
      <c r="F8" s="9">
        <v>0</v>
      </c>
      <c r="G8" s="9">
        <v>0</v>
      </c>
      <c r="H8" s="9">
        <v>7</v>
      </c>
      <c r="Q8" s="9" t="s">
        <v>17</v>
      </c>
      <c r="R8" t="s">
        <v>33</v>
      </c>
    </row>
    <row r="9" spans="1:18" x14ac:dyDescent="0.25">
      <c r="A9" s="9">
        <f t="shared" si="0"/>
        <v>8</v>
      </c>
      <c r="B9" s="9" t="s">
        <v>40</v>
      </c>
      <c r="C9" s="9" t="s">
        <v>11</v>
      </c>
      <c r="D9" s="9">
        <v>0</v>
      </c>
      <c r="E9" s="9">
        <v>0</v>
      </c>
      <c r="F9" s="9">
        <v>0</v>
      </c>
      <c r="G9" s="9">
        <v>0</v>
      </c>
      <c r="H9" s="9">
        <v>7</v>
      </c>
      <c r="Q9" s="9" t="s">
        <v>17</v>
      </c>
      <c r="R9" t="s">
        <v>33</v>
      </c>
    </row>
    <row r="10" spans="1:18" x14ac:dyDescent="0.25">
      <c r="A10" s="9">
        <f t="shared" si="0"/>
        <v>9</v>
      </c>
      <c r="B10" s="12" t="s">
        <v>41</v>
      </c>
      <c r="C10" s="9" t="s">
        <v>11</v>
      </c>
      <c r="D10" s="9">
        <v>0</v>
      </c>
      <c r="E10" s="9">
        <v>0</v>
      </c>
      <c r="F10" s="9">
        <v>0</v>
      </c>
      <c r="G10" s="9">
        <v>0</v>
      </c>
      <c r="H10" s="9">
        <v>7</v>
      </c>
      <c r="Q10" s="9" t="s">
        <v>17</v>
      </c>
      <c r="R10" t="s">
        <v>33</v>
      </c>
    </row>
    <row r="11" spans="1:18" x14ac:dyDescent="0.25">
      <c r="A11" s="9">
        <f t="shared" si="0"/>
        <v>10</v>
      </c>
      <c r="B11" s="12" t="s">
        <v>42</v>
      </c>
      <c r="C11" s="9" t="s">
        <v>11</v>
      </c>
      <c r="D11" s="9">
        <v>0</v>
      </c>
      <c r="E11" s="9">
        <v>0</v>
      </c>
      <c r="F11" s="9">
        <v>0</v>
      </c>
      <c r="G11" s="9">
        <v>0</v>
      </c>
      <c r="H11" s="9">
        <v>7</v>
      </c>
      <c r="Q11" s="9" t="s">
        <v>17</v>
      </c>
      <c r="R11" t="s">
        <v>33</v>
      </c>
    </row>
    <row r="12" spans="1:18" x14ac:dyDescent="0.25">
      <c r="A12" s="9">
        <f t="shared" si="0"/>
        <v>11</v>
      </c>
      <c r="C12" s="9" t="s">
        <v>11</v>
      </c>
      <c r="D12" s="9">
        <v>0</v>
      </c>
      <c r="E12" s="9">
        <v>0</v>
      </c>
      <c r="F12" s="9">
        <v>0</v>
      </c>
      <c r="G12" s="9">
        <v>0</v>
      </c>
      <c r="H12" s="9">
        <v>7</v>
      </c>
      <c r="Q12" s="9"/>
    </row>
    <row r="13" spans="1:18"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E1" sqref="E1"/>
    </sheetView>
  </sheetViews>
  <sheetFormatPr defaultColWidth="19.7109375" defaultRowHeight="15" x14ac:dyDescent="0.25"/>
  <cols>
    <col min="6" max="6" width="19.7109375" style="9"/>
  </cols>
  <sheetData>
    <row r="1" spans="1:11" x14ac:dyDescent="0.25">
      <c r="A1" t="s">
        <v>18</v>
      </c>
      <c r="B1" s="9" t="s">
        <v>29</v>
      </c>
      <c r="C1" s="9" t="s">
        <v>30</v>
      </c>
      <c r="D1" s="9" t="s">
        <v>31</v>
      </c>
      <c r="E1" s="9" t="s">
        <v>43</v>
      </c>
      <c r="F1" s="9" t="s">
        <v>37</v>
      </c>
      <c r="G1" t="s">
        <v>24</v>
      </c>
      <c r="H1" t="s">
        <v>39</v>
      </c>
      <c r="I1" t="s">
        <v>40</v>
      </c>
      <c r="J1" s="12" t="s">
        <v>41</v>
      </c>
      <c r="K1" s="12" t="s">
        <v>42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election activeCell="G32" sqref="G32"/>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43</vt:i4>
      </vt:variant>
    </vt:vector>
  </HeadingPairs>
  <TitlesOfParts>
    <vt:vector size="49" baseType="lpstr">
      <vt:lpstr>Intake</vt:lpstr>
      <vt:lpstr>Summary_Stocks</vt:lpstr>
      <vt:lpstr>Values_Stocks</vt:lpstr>
      <vt:lpstr>Portfolio_Analysis</vt:lpstr>
      <vt:lpstr>PnL_Analysis</vt:lpstr>
      <vt:lpstr>Output</vt:lpstr>
      <vt:lpstr>Intake!GLE?countrycode_UK</vt:lpstr>
      <vt:lpstr>Intake!GLE?countrycode_UK_1</vt:lpstr>
      <vt:lpstr>Intake!q?s</vt:lpstr>
      <vt:lpstr>Intake!q?s_CS.PA</vt:lpstr>
      <vt:lpstr>Intake!q?s_CS.PA_1</vt:lpstr>
      <vt:lpstr>Intake!q?s_CS.PA_2</vt:lpstr>
      <vt:lpstr>Intake!q?s_CS.PA_3</vt:lpstr>
      <vt:lpstr>Intake!q?s_GLE.PA</vt:lpstr>
      <vt:lpstr>Intake!q?s_GLE.PA_1</vt:lpstr>
      <vt:lpstr>Intake!q?s_GLE.PA_2</vt:lpstr>
      <vt:lpstr>Intake!q?s_GLE.PA_3</vt:lpstr>
      <vt:lpstr>Intake!q?s_GLE.PA_4</vt:lpstr>
      <vt:lpstr>Intake!q?s_IBM</vt:lpstr>
      <vt:lpstr>Intake!q?s_IBM_1</vt:lpstr>
      <vt:lpstr>Intake!q?s_IBM_2</vt:lpstr>
      <vt:lpstr>Intake!q?s_SAP.DE</vt:lpstr>
      <vt:lpstr>Intake!q?s_SAP.DE_1</vt:lpstr>
      <vt:lpstr>Intake!q?s_SAP.DE_2</vt:lpstr>
      <vt:lpstr>Intake!q?s_SAP.DE_3</vt:lpstr>
      <vt:lpstr>Intake!q?s_TIT.MA</vt:lpstr>
      <vt:lpstr>Intake!q?s_TIT.MI</vt:lpstr>
      <vt:lpstr>Intake!q?s_TIT.MI_1</vt:lpstr>
      <vt:lpstr>Intake!q?s_TIT.MI_2</vt:lpstr>
      <vt:lpstr>Intake!q?s_TIT.MI_3</vt:lpstr>
      <vt:lpstr>Intake!q?s_VOD.L</vt:lpstr>
      <vt:lpstr>Intake!q?s_VOD.L_1</vt:lpstr>
      <vt:lpstr>Intake!q?s_VOD.L_2</vt:lpstr>
      <vt:lpstr>Intake!q?s_VOD.L_3</vt:lpstr>
      <vt:lpstr>Intake!q?s_VOD.L_4</vt:lpstr>
      <vt:lpstr>Intake!q?s_VOD.L_5</vt:lpstr>
      <vt:lpstr>Intake!q?s_VOD.L_6</vt:lpstr>
      <vt:lpstr>Intake!stock_GLE?countrycode_UK</vt:lpstr>
      <vt:lpstr>Intake!stock_SAP?countrycode_DE_iso_XSTU</vt:lpstr>
      <vt:lpstr>Intake!stock_TIT?countrycode_IT</vt:lpstr>
      <vt:lpstr>Intake!stock_VOD</vt:lpstr>
      <vt:lpstr>Intake!stock_VOD?countrycode_False</vt:lpstr>
      <vt:lpstr>Intake!stock_VOD?countrycode_UK</vt:lpstr>
      <vt:lpstr>Intake!TIT?countrycode_IT</vt:lpstr>
      <vt:lpstr>Intake!TIT?countrycode_IT_1</vt:lpstr>
      <vt:lpstr>Intake!VOD?countrycode_False</vt:lpstr>
      <vt:lpstr>Intake!VOD?countrycode_UK</vt:lpstr>
      <vt:lpstr>Intake!VOD?countrycode_UK_1</vt:lpstr>
      <vt:lpstr>Intake!VOD?countrycode_UK_2</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2015-03-05T15:12:07Z</dcterms:modified>
</cp:coreProperties>
</file>