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480" yWindow="75" windowWidth="18195" windowHeight="11820" activeTab="3"/>
  </bookViews>
  <sheets>
    <sheet name="Intake" sheetId="1" r:id="rId1"/>
    <sheet name="Summary_Stocks" sheetId="2" r:id="rId2"/>
    <sheet name="Values_Stocks" sheetId="3" r:id="rId3"/>
    <sheet name="Portfolio_Analysis" sheetId="4" r:id="rId4"/>
    <sheet name="PnL_Analysis" sheetId="5" r:id="rId5"/>
    <sheet name="Output" sheetId="6" r:id="rId6"/>
  </sheets>
  <functionGroups builtInGroupCount="17"/>
  <definedNames>
    <definedName name="q?s_0001.HK" localSheetId="0">Intake!$A$1:$B$231</definedName>
    <definedName name="q?s_0008.HK" localSheetId="0">Intake!$A$1:$B$231</definedName>
    <definedName name="q?s_0066.HK" localSheetId="0">Intake!$A$1:$B$222</definedName>
    <definedName name="q?s_0087.HK" localSheetId="0">Intake!$A$1:$B$231</definedName>
    <definedName name="q?s_1299.HK_1" localSheetId="0">Intake!$A$1:$B$233</definedName>
    <definedName name="q?s_1299.HK_2" localSheetId="0">Intake!$A$1:$B$233</definedName>
    <definedName name="q?s_AIA.NZ" localSheetId="0">Intake!$A$1:$B$256</definedName>
    <definedName name="q?s_AIA.NZ_1" localSheetId="0">Intake!$A$1:$B$256</definedName>
    <definedName name="q?s_AIA.NZ_2" localSheetId="0">Intake!$A$1:$B$256</definedName>
    <definedName name="q?s_AIA.NZ_3" localSheetId="0">Intake!$A$1:$B$256</definedName>
    <definedName name="q?s_ANZ.NZ" localSheetId="0">Intake!$A$1:$B$240</definedName>
    <definedName name="q?s_ANZ.NZ_1" localSheetId="0">Intake!$A$1:$B$240</definedName>
    <definedName name="q?s_ANZ.NZ_2" localSheetId="0">Intake!$A$1:$B$240</definedName>
    <definedName name="q?s_ANZ.NZ_3" localSheetId="0">Intake!$A$1:$B$240</definedName>
    <definedName name="q?s_BIT.NZ" localSheetId="0">Intake!$A$1:$B$239</definedName>
    <definedName name="q?s_BIT.NZ_1" localSheetId="0">Intake!$A$1:$B$239</definedName>
    <definedName name="q?s_BIT.NZ_2" localSheetId="0">Intake!$A$1:$B$239</definedName>
    <definedName name="q?s_BIT.NZ_3" localSheetId="0">Intake!$A$1:$B$239</definedName>
    <definedName name="q?s_FIN.NZ" localSheetId="0">Intake!$A$1:$B$233</definedName>
    <definedName name="q?s_FIN.NZ_1" localSheetId="0">Intake!$A$1:$B$233</definedName>
    <definedName name="q?s_FIN.NZ_2" localSheetId="0">Intake!$A$1:$B$233</definedName>
    <definedName name="q?s_FIN.NZ_3" localSheetId="0">Intake!$A$1:$B$233</definedName>
    <definedName name="q?s_IBM" localSheetId="0">Intake!$A$1:$C$299</definedName>
    <definedName name="q?s_IBM_1" localSheetId="0">Intake!$A$1:$C$300</definedName>
    <definedName name="q?s_IBM_2" localSheetId="0">Intake!$A$1:$C$300</definedName>
    <definedName name="q?s_IQE.NZ" localSheetId="0">Intake!$A$1:$B$237</definedName>
    <definedName name="q?s_IQE.NZ_1" localSheetId="0">Intake!$A$1:$B$237</definedName>
    <definedName name="q?s_IQE.NZ_2" localSheetId="0">Intake!$A$1:$B$237</definedName>
    <definedName name="q?s_IQE.NZ_3" localSheetId="0">Intake!$A$1:$B$237</definedName>
    <definedName name="q?s_IQE.NZ_4" localSheetId="0">Intake!$A$1:$B$237</definedName>
    <definedName name="q?s_IQE.NZ_5" localSheetId="0">Intake!$A$1:$B$237</definedName>
  </definedNames>
  <calcPr calcId="145621"/>
</workbook>
</file>

<file path=xl/calcChain.xml><?xml version="1.0" encoding="utf-8"?>
<calcChain xmlns="http://schemas.openxmlformats.org/spreadsheetml/2006/main">
  <c r="L3" i="4" l="1"/>
</calcChain>
</file>

<file path=xl/connections.xml><?xml version="1.0" encoding="utf-8"?>
<connections xmlns="http://schemas.openxmlformats.org/spreadsheetml/2006/main">
  <connection id="1" name="Connection" type="4" refreshedVersion="4" background="1" saveData="1">
    <webPr sourceData="1" parsePre="1" consecutive="1" xl2000="1" url="http://finance.yahoo.com/q?s=IBM"/>
  </connection>
  <connection id="2" name="Connection1" type="4" refreshedVersion="4" background="1" saveData="1">
    <webPr sourceData="1" parsePre="1" consecutive="1" xl2000="1" url="http://finance.yahoo.com/q?s=IBM"/>
  </connection>
  <connection id="3" name="Connection10" type="4" refreshedVersion="4" background="1" saveData="1">
    <webPr sourceData="1" parsePre="1" consecutive="1" xl2000="1" url="http://finance.yahoo.com/q?s=IQE.NZ"/>
  </connection>
  <connection id="4" name="Connection11" type="4" refreshedVersion="4" background="1" saveData="1">
    <webPr sourceData="1" parsePre="1" consecutive="1" xl2000="1" url="http://finance.yahoo.com/q?s=FIN.NZ"/>
  </connection>
  <connection id="5" name="Connection12" type="4" refreshedVersion="4" background="1" saveData="1">
    <webPr sourceData="1" parsePre="1" consecutive="1" xl2000="1" url="http://finance.yahoo.com/q?s=BIT.NZ"/>
  </connection>
  <connection id="6" name="Connection13" type="4" refreshedVersion="4" background="1" saveData="1">
    <webPr sourceData="1" parsePre="1" consecutive="1" xl2000="1" url="http://finance.yahoo.com/q?s=ANZ.NZ"/>
  </connection>
  <connection id="7" name="Connection14" type="4" refreshedVersion="4" background="1" saveData="1">
    <webPr sourceData="1" parsePre="1" consecutive="1" xl2000="1" url="http://finance.yahoo.com/q?s=AIA.NZ"/>
  </connection>
  <connection id="8" name="Connection15" type="4" refreshedVersion="4" background="1" saveData="1">
    <webPr sourceData="1" parsePre="1" consecutive="1" xl2000="1" url="http://finance.yahoo.com/q?s=IQE.NZ"/>
  </connection>
  <connection id="9" name="Connection16" type="4" refreshedVersion="4" background="1" saveData="1">
    <webPr sourceData="1" parsePre="1" consecutive="1" xl2000="1" url="http://finance.yahoo.com/q?s=FIN.NZ"/>
  </connection>
  <connection id="10" name="Connection17" type="4" refreshedVersion="4" background="1" saveData="1">
    <webPr sourceData="1" parsePre="1" consecutive="1" xl2000="1" url="http://finance.yahoo.com/q?s=BIT.NZ"/>
  </connection>
  <connection id="11" name="Connection18" type="4" refreshedVersion="4" background="1" saveData="1">
    <webPr sourceData="1" parsePre="1" consecutive="1" xl2000="1" url="http://finance.yahoo.com/q?s=ANZ.NZ"/>
  </connection>
  <connection id="12" name="Connection19" type="4" refreshedVersion="4" background="1" saveData="1">
    <webPr sourceData="1" parsePre="1" consecutive="1" xl2000="1" url="http://finance.yahoo.com/q?s=AIA.NZ"/>
  </connection>
  <connection id="13" name="Connection2" type="4" refreshedVersion="4" background="1" saveData="1">
    <webPr sourceData="1" parsePre="1" consecutive="1" xl2000="1" url="http://finance.yahoo.com/q?s=IBM"/>
  </connection>
  <connection id="14" name="Connection20" type="4" refreshedVersion="4" background="1" saveData="1">
    <webPr sourceData="1" parsePre="1" consecutive="1" xl2000="1" url="http://finance.yahoo.com/q?s=IQE.NZ"/>
  </connection>
  <connection id="15" name="Connection21" type="4" refreshedVersion="4" background="1" saveData="1">
    <webPr sourceData="1" parsePre="1" consecutive="1" xl2000="1" url="http://finance.yahoo.com/q?s=FIN.NZ"/>
  </connection>
  <connection id="16" name="Connection22" type="4" refreshedVersion="4" background="1" saveData="1">
    <webPr sourceData="1" parsePre="1" consecutive="1" xl2000="1" url="http://finance.yahoo.com/q?s=BIT.NZ"/>
  </connection>
  <connection id="17" name="Connection23" type="4" refreshedVersion="4" background="1" saveData="1">
    <webPr sourceData="1" parsePre="1" consecutive="1" xl2000="1" url="http://finance.yahoo.com/q?s=ANZ.NZ"/>
  </connection>
  <connection id="18" name="Connection24" type="4" refreshedVersion="4" background="1" saveData="1">
    <webPr sourceData="1" parsePre="1" consecutive="1" xl2000="1" url="http://finance.yahoo.com/q?s=AIA.NZ"/>
  </connection>
  <connection id="19" name="Connection25" type="4" refreshedVersion="0" background="1">
    <webPr url="http://hk.finance.yahoo.com/q?s=1299.HK" htmlTables="1" htmlFormat="all"/>
  </connection>
  <connection id="20" name="Connection26" type="4" refreshedVersion="4" background="1" saveData="1">
    <webPr sourceData="1" parsePre="1" consecutive="1" xl2000="1" url="http://hk.finance.yahoo.com/q?s=1299.HK"/>
  </connection>
  <connection id="21" name="Connection27" type="4" refreshedVersion="4" background="1" saveData="1">
    <webPr sourceData="1" parsePre="1" consecutive="1" xl2000="1" url="http://hk.finance.yahoo.com/q?s=1299.HK"/>
  </connection>
  <connection id="22" name="Connection28" type="4" refreshedVersion="4" background="1" saveData="1">
    <webPr sourceData="1" parsePre="1" consecutive="1" xl2000="1" url="http://hk.finance.yahoo.com/q?s=0001.HK"/>
  </connection>
  <connection id="23" name="Connection29" type="4" refreshedVersion="4" background="1" saveData="1">
    <webPr sourceData="1" parsePre="1" consecutive="1" xl2000="1" url="http://hk.finance.yahoo.com/q?s=0008.HK"/>
  </connection>
  <connection id="24" name="Connection3" type="4" refreshedVersion="4" background="1" saveData="1">
    <webPr sourceData="1" parsePre="1" consecutive="1" xl2000="1" url="http://finance.yahoo.com/q?s=IQE.NZ"/>
  </connection>
  <connection id="25" name="Connection30" type="4" refreshedVersion="4" background="1" saveData="1">
    <webPr sourceData="1" parsePre="1" consecutive="1" xl2000="1" url="http://hk.finance.yahoo.com/q?s=0087.HK"/>
  </connection>
  <connection id="26" name="Connection31" type="4" refreshedVersion="4" background="1" saveData="1">
    <webPr sourceData="1" parsePre="1" consecutive="1" xl2000="1" url="http://hk.finance.yahoo.com/q?s=0066.HK"/>
  </connection>
  <connection id="27" name="Connection4" type="4" refreshedVersion="4" background="1" saveData="1">
    <webPr sourceData="1" parsePre="1" consecutive="1" xl2000="1" url="http://finance.yahoo.com/q?s=IQE.NZ"/>
  </connection>
  <connection id="28" name="Connection5" type="4" refreshedVersion="4" background="1" saveData="1">
    <webPr sourceData="1" parsePre="1" consecutive="1" xl2000="1" url="http://finance.yahoo.com/q?s=IQE.NZ"/>
  </connection>
  <connection id="29" name="Connection6" type="4" refreshedVersion="4" background="1" saveData="1">
    <webPr sourceData="1" parsePre="1" consecutive="1" xl2000="1" url="http://finance.yahoo.com/q?s=FIN.NZ"/>
  </connection>
  <connection id="30" name="Connection7" type="4" refreshedVersion="4" background="1" saveData="1">
    <webPr sourceData="1" parsePre="1" consecutive="1" xl2000="1" url="http://finance.yahoo.com/q?s=BIT.NZ"/>
  </connection>
  <connection id="31" name="Connection8" type="4" refreshedVersion="4" background="1" saveData="1">
    <webPr sourceData="1" parsePre="1" consecutive="1" xl2000="1" url="http://finance.yahoo.com/q?s=ANZ.NZ"/>
  </connection>
  <connection id="32" name="Connection9" type="4" refreshedVersion="4" background="1" saveData="1">
    <webPr sourceData="1" parsePre="1" consecutive="1" xl2000="1" url="http://finance.yahoo.com/q?s=AIA.NZ"/>
  </connection>
</connections>
</file>

<file path=xl/sharedStrings.xml><?xml version="1.0" encoding="utf-8"?>
<sst xmlns="http://schemas.openxmlformats.org/spreadsheetml/2006/main" count="292" uniqueCount="201">
  <si>
    <t>Stock_Index</t>
  </si>
  <si>
    <t>Stock Name</t>
  </si>
  <si>
    <t>Buy/Sell</t>
  </si>
  <si>
    <t>Bid Price</t>
  </si>
  <si>
    <t>Bid Quantity</t>
  </si>
  <si>
    <t>Ask Price</t>
  </si>
  <si>
    <t>Ask Quantity</t>
  </si>
  <si>
    <t>Commission</t>
  </si>
  <si>
    <t>Profit/Loss</t>
  </si>
  <si>
    <t>Actual Gain/Loss</t>
  </si>
  <si>
    <t>Amount buy in</t>
  </si>
  <si>
    <t>Buy</t>
  </si>
  <si>
    <t>Amount Cost</t>
  </si>
  <si>
    <t>Count</t>
  </si>
  <si>
    <t>Cash in Hand</t>
  </si>
  <si>
    <t>Second Counter</t>
  </si>
  <si>
    <t>Action</t>
  </si>
  <si>
    <t>Hold</t>
  </si>
  <si>
    <t>Minutes</t>
  </si>
  <si>
    <t>Mail</t>
  </si>
  <si>
    <t>P/E (ttm):</t>
  </si>
  <si>
    <t>Quotes are real-time for NASDAQ, NYSE, and NYSE MKT. See also delay times for other exchanges. All information provided "as is" for informational purposes only, not intended for trading purposes or advice. Neither Yahoo! nor any of independent providers is liable for any informational errors, incompleteness, or delays, or for any actions taken in reliance on information contained herein. By accessing the Yahoo! site, you agree not to redistribute the information found therein.</t>
  </si>
  <si>
    <t>1299.HK</t>
  </si>
  <si>
    <t>0001.HK</t>
  </si>
  <si>
    <t>0008.HK</t>
  </si>
  <si>
    <t>0087.HK</t>
  </si>
  <si>
    <t>0066.HK</t>
  </si>
  <si>
    <t>0016.HK</t>
  </si>
  <si>
    <t>0011.HK</t>
  </si>
  <si>
    <t>0165.HK</t>
  </si>
  <si>
    <t>0101.HK</t>
  </si>
  <si>
    <t>0272.HK</t>
  </si>
  <si>
    <t>0293.HK</t>
  </si>
  <si>
    <t>0388.HK</t>
  </si>
  <si>
    <t>0494.HK</t>
  </si>
  <si>
    <t>1019.HK</t>
  </si>
  <si>
    <t>0005.HK</t>
  </si>
  <si>
    <t>跳到搜尋欄。</t>
  </si>
  <si>
    <t>新用戶？ 請註冊</t>
  </si>
  <si>
    <t>登入</t>
  </si>
  <si>
    <t>服務中心</t>
  </si>
  <si>
    <t>下載 Yahoo Mail Apps</t>
  </si>
  <si>
    <t xml:space="preserve">My Yahoo </t>
  </si>
  <si>
    <t>Yahoo 雅虎香港</t>
  </si>
  <si>
    <t xml:space="preserve">Yahoo 財經 </t>
  </si>
  <si>
    <t>搜尋</t>
  </si>
  <si>
    <t>網頁搜尋</t>
  </si>
  <si>
    <t>主頁</t>
  </si>
  <si>
    <t>今日有股講</t>
  </si>
  <si>
    <t>滬港通專頁</t>
  </si>
  <si>
    <t>精明交稅特集</t>
  </si>
  <si>
    <t>視像財經</t>
  </si>
  <si>
    <t>陸叔聯誼會</t>
  </si>
  <si>
    <t>雅虎新聞手機版</t>
  </si>
  <si>
    <t>即時財經新聞</t>
  </si>
  <si>
    <t>經濟數據</t>
  </si>
  <si>
    <t>股市動態</t>
  </si>
  <si>
    <t>個股消息</t>
  </si>
  <si>
    <t>大行報告</t>
  </si>
  <si>
    <t>新股情報</t>
  </si>
  <si>
    <t>外幣新聞</t>
  </si>
  <si>
    <t>地產新聞</t>
  </si>
  <si>
    <t>商品市場</t>
  </si>
  <si>
    <t>基金專頁</t>
  </si>
  <si>
    <t>窩輪牛熊</t>
  </si>
  <si>
    <t>專題故事</t>
  </si>
  <si>
    <t>個人投資組合</t>
  </si>
  <si>
    <t>登入個人投資組合</t>
  </si>
  <si>
    <t>港股</t>
  </si>
  <si>
    <t>指數綜觀</t>
  </si>
  <si>
    <t>升跌概覽</t>
  </si>
  <si>
    <t>20大成交量</t>
  </si>
  <si>
    <t>20大升幅</t>
  </si>
  <si>
    <t>20大跌幅</t>
  </si>
  <si>
    <t>藍籌股</t>
  </si>
  <si>
    <t>國企股</t>
  </si>
  <si>
    <t>紅籌股</t>
  </si>
  <si>
    <t>輪證</t>
  </si>
  <si>
    <t>美股</t>
  </si>
  <si>
    <t>市場統計數據</t>
  </si>
  <si>
    <t>外幣</t>
  </si>
  <si>
    <t>基金</t>
  </si>
  <si>
    <t>地產</t>
  </si>
  <si>
    <t>樓盤搜尋</t>
  </si>
  <si>
    <t>上車盤</t>
  </si>
  <si>
    <t>按揭計算</t>
  </si>
  <si>
    <t>呎價走勢圖</t>
  </si>
  <si>
    <t>趣遊樓市</t>
  </si>
  <si>
    <t>地產論壇</t>
  </si>
  <si>
    <t>樓市專題</t>
  </si>
  <si>
    <t>一手資料</t>
  </si>
  <si>
    <t>品味設計</t>
  </si>
  <si>
    <t>生活理財</t>
  </si>
  <si>
    <t>職場管理</t>
  </si>
  <si>
    <t>退休儲蓄</t>
  </si>
  <si>
    <t>精明理財</t>
  </si>
  <si>
    <t>商業英語</t>
  </si>
  <si>
    <t>理財計算機</t>
  </si>
  <si>
    <t>專欄</t>
  </si>
  <si>
    <t>中小企</t>
  </si>
  <si>
    <t>財經教室</t>
  </si>
  <si>
    <t>搜尋股價</t>
  </si>
  <si>
    <t>報告問題</t>
  </si>
  <si>
    <t>報價</t>
  </si>
  <si>
    <t>撮要</t>
  </si>
  <si>
    <t>委託簿</t>
  </si>
  <si>
    <t>期權</t>
  </si>
  <si>
    <t>期貨鏈</t>
  </si>
  <si>
    <t>過往股價及派息</t>
  </si>
  <si>
    <t>圖表</t>
  </si>
  <si>
    <t>互動式</t>
  </si>
  <si>
    <t>基本圖表</t>
  </si>
  <si>
    <t>基本技術分析</t>
  </si>
  <si>
    <t>新聞與資訊</t>
  </si>
  <si>
    <t>頭條新聞</t>
  </si>
  <si>
    <t>公司活動</t>
  </si>
  <si>
    <t>公司</t>
  </si>
  <si>
    <t>概況</t>
  </si>
  <si>
    <t>主要統計數據</t>
  </si>
  <si>
    <t>業務展望</t>
  </si>
  <si>
    <t>業務回顧</t>
  </si>
  <si>
    <t>美國證券交易委員會申報文件</t>
  </si>
  <si>
    <t>競爭對手</t>
  </si>
  <si>
    <t>行業</t>
  </si>
  <si>
    <t>組成部分</t>
  </si>
  <si>
    <t>分析師報導</t>
  </si>
  <si>
    <t>分析師觀點</t>
  </si>
  <si>
    <t>分析師預測</t>
  </si>
  <si>
    <t>股權</t>
  </si>
  <si>
    <t>內幕交易</t>
  </si>
  <si>
    <t>財務狀況</t>
  </si>
  <si>
    <t>損益表</t>
  </si>
  <si>
    <t>資產負債表</t>
  </si>
  <si>
    <t>現金流量</t>
  </si>
  <si>
    <t xml:space="preserve">-HKSE </t>
  </si>
  <si>
    <t>加入個人選股</t>
  </si>
  <si>
    <t>前收市價:</t>
  </si>
  <si>
    <t>開市:</t>
  </si>
  <si>
    <t>買入價:</t>
  </si>
  <si>
    <t>不適用</t>
  </si>
  <si>
    <t>賣出價:</t>
  </si>
  <si>
    <t>1年指標(預估值):</t>
  </si>
  <si>
    <t>Beta 值:</t>
  </si>
  <si>
    <t>下一個盈利日:</t>
  </si>
  <si>
    <t>今日波幅:</t>
  </si>
  <si>
    <t>52 週波幅:</t>
  </si>
  <si>
    <t>成交量:</t>
  </si>
  <si>
    <t>平均成交量 (3 個月):</t>
  </si>
  <si>
    <t>市值:</t>
  </si>
  <si>
    <t>每股盈利 (ttm):</t>
  </si>
  <si>
    <t>股利與收益率:</t>
  </si>
  <si>
    <t>除非特別註明，否則延遲報價。 貨幣 : HKD</t>
  </si>
  <si>
    <t>相關新聞</t>
  </si>
  <si>
    <t>1日</t>
  </si>
  <si>
    <t>5日</t>
  </si>
  <si>
    <t>1個月</t>
  </si>
  <si>
    <t>3個月</t>
  </si>
  <si>
    <t>6個月</t>
  </si>
  <si>
    <t>1年</t>
  </si>
  <si>
    <t>2年</t>
  </si>
  <si>
    <t>5年</t>
  </si>
  <si>
    <t>預估市盈率 (1 年):</t>
  </si>
  <si>
    <t>股價營銷率 (ttm):</t>
  </si>
  <si>
    <t>除息日:</t>
  </si>
  <si>
    <t>» 更多主要統計數據</t>
  </si>
  <si>
    <t>分析師</t>
  </si>
  <si>
    <t>季度 EPS 預估 (0-00-31) :</t>
  </si>
  <si>
    <t>平均評價*:</t>
  </si>
  <si>
    <t>盈利增長率 (5年預期):</t>
  </si>
  <si>
    <t>* (強力買進) 1.0 - 5.0 (賣出)</t>
  </si>
  <si>
    <t>分析師觀點 | 預估值</t>
  </si>
  <si>
    <t>商業撮要</t>
  </si>
  <si>
    <t>公司簡介 | 行業</t>
  </si>
  <si>
    <t>工具箱</t>
  </si>
  <si>
    <t>下載資料（已延遲）</t>
  </si>
  <si>
    <t>在手機更新</t>
  </si>
  <si>
    <t xml:space="preserve">Yahoo! Hong Kong Finance Copyright © Yahoo! Inc. 版權所有 不得轉載 說明 / 建議 私隱政策 服務條款  </t>
  </si>
  <si>
    <t>Capital IQ, Morning Star</t>
  </si>
  <si>
    <t>2014年12月9日, 星期二, 香港標準時間 10:12 - 香港股市 將收市，收市時間： 5 小時 48 分鐘</t>
  </si>
  <si>
    <t xml:space="preserve"> 恆生指數 下跌 0.96%</t>
  </si>
  <si>
    <t>最大</t>
  </si>
  <si>
    <t>年度每股盈利預估 (12月-12) :</t>
  </si>
  <si>
    <t>更多資訊 0066.HK</t>
  </si>
  <si>
    <t>港鐵公司 (0066.HK)</t>
  </si>
  <si>
    <t>31.100 下跌0.200(0.639%) 12月9日, 星期二, 10:12 - 即時報價</t>
  </si>
  <si>
    <t>31.000 - 31.200</t>
  </si>
  <si>
    <t>26.550 - 32.300</t>
  </si>
  <si>
    <t>180.42B</t>
  </si>
  <si>
    <t>0.920 (2.960%)</t>
  </si>
  <si>
    <t>古諮會建議拆卸重建古井aastock(2014年12月5日, 星期五, 09:07)</t>
  </si>
  <si>
    <t>政府擬擴土瓜灣考古範圍aastock(2014年12月1日, 星期一, 09:19)</t>
  </si>
  <si>
    <t>會德豐(00020.HK)中標日出康城5期項目aastock(2014年11月26日, 星期三, 18:19)</t>
  </si>
  <si>
    <t>港鐵(00066.HK)參與北京地鐵16號線項目 擬向合營注資24.5億人幣aastock(2014年11月26日, 星期三, 16:58)</t>
  </si>
  <si>
    <t>港鐵(00066.HK)日出康城5期共接獲六份標書aastock(2014年11月24日, 星期一, 17:37)</t>
  </si>
  <si>
    <t>日出康城5期暫收至少六標書aastock(2014年11月24日, 星期一, 13:09)</t>
  </si>
  <si>
    <t>嘉華(00173.HK)入標日出康城5期aastock(2014年11月24日, 星期一, 11:43)</t>
  </si>
  <si>
    <t>港鐵(00066.HK)日出康城5期今截標 反應料佳aastock(2014年11月24日, 星期一, 10:34)</t>
  </si>
  <si>
    <t>張炳良：港鐵(00066.HK)將承擔南港島線東段超支費用aastock(2014年11月24日, 星期一, 09:35)</t>
  </si>
  <si>
    <t>政府建議沙中線古跡大部分原址保留 工程或超支54億元aastock(2014年11月20日, 星期四, 14:12)</t>
  </si>
  <si>
    <t>» 更多關於 0066.HK 的 相關新聞</t>
  </si>
  <si>
    <t>集團主要經營下列核心業務 — 於香港、中國內地和數個主要海外城市的鐵路設計、建造、營運、維修及投資；與鐵路及物業發展業務相關的項目管理；香港鐵路網絡內的車站商務，包括商舖租賃、列車與車站內的廣告位租賃，以及協助電訊商於鐵路沿□提供電訊服務；於香港及中國內地的物業業務，包括物業發展及投資，及投資物業（包括購物商場及寫字樓）的物業管理及租賃管理；以及投資於八達通控股有限公司。 更多內容</t>
  </si>
</sst>
</file>

<file path=xl/styles.xml><?xml version="1.0" encoding="utf-8"?>
<styleSheet xmlns="http://schemas.openxmlformats.org/spreadsheetml/2006/main" xmlns:mc="http://schemas.openxmlformats.org/markup-compatibility/2006" xmlns:x14ac="http://schemas.microsoft.com/office/spreadsheetml/2009/9/ac" mc:Ignorable="x14ac">
  <fonts count="3" x14ac:knownFonts="1">
    <font>
      <sz val="11"/>
      <color theme="1"/>
      <name val="Calibri"/>
      <family val="2"/>
      <scheme val="minor"/>
    </font>
    <font>
      <sz val="11"/>
      <color theme="1"/>
      <name val="Calibri"/>
      <family val="2"/>
      <scheme val="minor"/>
    </font>
    <font>
      <b/>
      <sz val="11"/>
      <color rgb="FFFF0000"/>
      <name val="Calibri"/>
      <family val="2"/>
      <scheme val="minor"/>
    </font>
  </fonts>
  <fills count="5">
    <fill>
      <patternFill patternType="none"/>
    </fill>
    <fill>
      <patternFill patternType="gray125"/>
    </fill>
    <fill>
      <patternFill patternType="solid">
        <fgColor indexed="50"/>
        <bgColor indexed="64"/>
      </patternFill>
    </fill>
    <fill>
      <patternFill patternType="solid">
        <fgColor rgb="FFFFFF00"/>
        <bgColor indexed="64"/>
      </patternFill>
    </fill>
    <fill>
      <patternFill patternType="solid">
        <fgColor indexed="10"/>
        <bgColor indexed="64"/>
      </patternFill>
    </fill>
  </fills>
  <borders count="1">
    <border>
      <left/>
      <right/>
      <top/>
      <bottom/>
      <diagonal/>
    </border>
  </borders>
  <cellStyleXfs count="2">
    <xf numFmtId="0" fontId="0" fillId="0" borderId="0"/>
    <xf numFmtId="9" fontId="1" fillId="0" borderId="0" applyFont="0" applyFill="0" applyBorder="0" applyAlignment="0" applyProtection="0"/>
  </cellStyleXfs>
  <cellXfs count="12">
    <xf numFmtId="0" fontId="0" fillId="0" borderId="0" xfId="0"/>
    <xf numFmtId="0" fontId="0" fillId="0" borderId="0" xfId="0"/>
    <xf numFmtId="3" fontId="0" fillId="0" borderId="0" xfId="0" applyNumberFormat="1"/>
    <xf numFmtId="0" fontId="0" fillId="0" borderId="0" xfId="0" applyAlignment="1">
      <alignment horizontal="center"/>
    </xf>
    <xf numFmtId="0" fontId="0" fillId="0" borderId="0" xfId="0" applyNumberFormat="1"/>
    <xf numFmtId="0" fontId="0" fillId="0" borderId="0" xfId="0" applyFill="1" applyBorder="1" applyAlignment="1">
      <alignment horizontal="center"/>
    </xf>
    <xf numFmtId="0" fontId="0" fillId="0" borderId="0" xfId="0" applyFill="1" applyBorder="1"/>
    <xf numFmtId="10" fontId="0" fillId="2" borderId="0" xfId="1" applyNumberFormat="1" applyFont="1" applyFill="1"/>
    <xf numFmtId="10" fontId="0" fillId="4" borderId="0" xfId="1" applyNumberFormat="1" applyFont="1" applyFill="1" applyBorder="1"/>
    <xf numFmtId="0" fontId="0" fillId="0" borderId="0" xfId="0"/>
    <xf numFmtId="0" fontId="2" fillId="3" borderId="0" xfId="0" applyFont="1" applyFill="1"/>
    <xf numFmtId="15" fontId="0" fillId="0" borderId="0" xfId="0" applyNumberFormat="1"/>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queryTables/queryTable1.xml><?xml version="1.0" encoding="utf-8"?>
<queryTable xmlns="http://schemas.openxmlformats.org/spreadsheetml/2006/main" name="q?s=IBM" connectionId="1"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q?s=BIT.NZ_1" connectionId="5"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0066.HK" connectionId="26"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q?s=0001.HK" connectionId="22"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IBM_1" connectionId="2"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FIN.NZ" connectionId="29"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q?s=FIN.NZ_1" connectionId="4"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ANZ.NZ_2" connectionId="11"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IQE.NZ_1" connectionId="27"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0087.HK" connectionId="25"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q?s=AIA.NZ" connectionId="32"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IQE.NZ" connectionId="24"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IBM_2" connectionId="13"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AIA.NZ_2" connectionId="12"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ANZ.NZ_1" connectionId="6"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FIN.NZ_2" connectionId="9"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FIN.NZ_3" connectionId="15"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BIT.NZ_2" connectionId="10"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q?s=BIT.NZ_3" connectionId="16"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BIT.NZ" connectionId="30"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IQE.NZ_5" connectionId="14"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q?s=ANZ.NZ" connectionId="31"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AIA.NZ_3" connectionId="18"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q?s=AIA.NZ_1" connectionId="7"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q?s=0008.HK" connectionId="23"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IQE.NZ_3" connectionId="3"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IQE.NZ_2" connectionId="28"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q?s=1299.HK_1" connectionId="20"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1299.HK_2" connectionId="21"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ANZ.NZ_3" connectionId="17"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q?s=IQE.NZ_4" connectionId="8"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queryTable" Target="../queryTables/queryTable7.xml"/><Relationship Id="rId13" Type="http://schemas.openxmlformats.org/officeDocument/2006/relationships/queryTable" Target="../queryTables/queryTable12.xml"/><Relationship Id="rId18" Type="http://schemas.openxmlformats.org/officeDocument/2006/relationships/queryTable" Target="../queryTables/queryTable17.xml"/><Relationship Id="rId26" Type="http://schemas.openxmlformats.org/officeDocument/2006/relationships/queryTable" Target="../queryTables/queryTable25.xml"/><Relationship Id="rId3" Type="http://schemas.openxmlformats.org/officeDocument/2006/relationships/queryTable" Target="../queryTables/queryTable2.xml"/><Relationship Id="rId21" Type="http://schemas.openxmlformats.org/officeDocument/2006/relationships/queryTable" Target="../queryTables/queryTable20.xml"/><Relationship Id="rId7" Type="http://schemas.openxmlformats.org/officeDocument/2006/relationships/queryTable" Target="../queryTables/queryTable6.xml"/><Relationship Id="rId12" Type="http://schemas.openxmlformats.org/officeDocument/2006/relationships/queryTable" Target="../queryTables/queryTable11.xml"/><Relationship Id="rId17" Type="http://schemas.openxmlformats.org/officeDocument/2006/relationships/queryTable" Target="../queryTables/queryTable16.xml"/><Relationship Id="rId25" Type="http://schemas.openxmlformats.org/officeDocument/2006/relationships/queryTable" Target="../queryTables/queryTable24.xml"/><Relationship Id="rId2" Type="http://schemas.openxmlformats.org/officeDocument/2006/relationships/queryTable" Target="../queryTables/queryTable1.xml"/><Relationship Id="rId16" Type="http://schemas.openxmlformats.org/officeDocument/2006/relationships/queryTable" Target="../queryTables/queryTable15.xml"/><Relationship Id="rId20" Type="http://schemas.openxmlformats.org/officeDocument/2006/relationships/queryTable" Target="../queryTables/queryTable19.xml"/><Relationship Id="rId29" Type="http://schemas.openxmlformats.org/officeDocument/2006/relationships/queryTable" Target="../queryTables/queryTable28.xml"/><Relationship Id="rId1" Type="http://schemas.openxmlformats.org/officeDocument/2006/relationships/printerSettings" Target="../printerSettings/printerSettings1.bin"/><Relationship Id="rId6" Type="http://schemas.openxmlformats.org/officeDocument/2006/relationships/queryTable" Target="../queryTables/queryTable5.xml"/><Relationship Id="rId11" Type="http://schemas.openxmlformats.org/officeDocument/2006/relationships/queryTable" Target="../queryTables/queryTable10.xml"/><Relationship Id="rId24" Type="http://schemas.openxmlformats.org/officeDocument/2006/relationships/queryTable" Target="../queryTables/queryTable23.xml"/><Relationship Id="rId32" Type="http://schemas.openxmlformats.org/officeDocument/2006/relationships/queryTable" Target="../queryTables/queryTable31.xml"/><Relationship Id="rId5" Type="http://schemas.openxmlformats.org/officeDocument/2006/relationships/queryTable" Target="../queryTables/queryTable4.xml"/><Relationship Id="rId15" Type="http://schemas.openxmlformats.org/officeDocument/2006/relationships/queryTable" Target="../queryTables/queryTable14.xml"/><Relationship Id="rId23" Type="http://schemas.openxmlformats.org/officeDocument/2006/relationships/queryTable" Target="../queryTables/queryTable22.xml"/><Relationship Id="rId28" Type="http://schemas.openxmlformats.org/officeDocument/2006/relationships/queryTable" Target="../queryTables/queryTable27.xml"/><Relationship Id="rId10" Type="http://schemas.openxmlformats.org/officeDocument/2006/relationships/queryTable" Target="../queryTables/queryTable9.xml"/><Relationship Id="rId19" Type="http://schemas.openxmlformats.org/officeDocument/2006/relationships/queryTable" Target="../queryTables/queryTable18.xml"/><Relationship Id="rId31" Type="http://schemas.openxmlformats.org/officeDocument/2006/relationships/queryTable" Target="../queryTables/queryTable30.xml"/><Relationship Id="rId4" Type="http://schemas.openxmlformats.org/officeDocument/2006/relationships/queryTable" Target="../queryTables/queryTable3.xml"/><Relationship Id="rId9" Type="http://schemas.openxmlformats.org/officeDocument/2006/relationships/queryTable" Target="../queryTables/queryTable8.xml"/><Relationship Id="rId14" Type="http://schemas.openxmlformats.org/officeDocument/2006/relationships/queryTable" Target="../queryTables/queryTable13.xml"/><Relationship Id="rId22" Type="http://schemas.openxmlformats.org/officeDocument/2006/relationships/queryTable" Target="../queryTables/queryTable21.xml"/><Relationship Id="rId27" Type="http://schemas.openxmlformats.org/officeDocument/2006/relationships/queryTable" Target="../queryTables/queryTable26.xml"/><Relationship Id="rId30" Type="http://schemas.openxmlformats.org/officeDocument/2006/relationships/queryTable" Target="../queryTables/queryTable2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B261"/>
  <sheetViews>
    <sheetView topLeftCell="A127" workbookViewId="0">
      <selection activeCell="A142" sqref="A142"/>
    </sheetView>
  </sheetViews>
  <sheetFormatPr defaultRowHeight="15" x14ac:dyDescent="0.25"/>
  <cols>
    <col min="1" max="1" width="28.42578125" customWidth="1"/>
    <col min="2" max="2" width="13.85546875" customWidth="1"/>
    <col min="3" max="3" width="8.140625" customWidth="1"/>
  </cols>
  <sheetData>
    <row r="1" spans="1:2" x14ac:dyDescent="0.25">
      <c r="A1" t="s">
        <v>37</v>
      </c>
    </row>
    <row r="3" spans="1:2" x14ac:dyDescent="0.25">
      <c r="A3" t="s">
        <v>38</v>
      </c>
    </row>
    <row r="4" spans="1:2" x14ac:dyDescent="0.25">
      <c r="A4" t="s">
        <v>39</v>
      </c>
    </row>
    <row r="5" spans="1:2" x14ac:dyDescent="0.25">
      <c r="A5" t="s">
        <v>40</v>
      </c>
    </row>
    <row r="7" spans="1:2" x14ac:dyDescent="0.25">
      <c r="A7" t="s">
        <v>41</v>
      </c>
    </row>
    <row r="9" spans="1:2" x14ac:dyDescent="0.25">
      <c r="A9" t="s">
        <v>19</v>
      </c>
    </row>
    <row r="10" spans="1:2" x14ac:dyDescent="0.25">
      <c r="A10" t="s">
        <v>42</v>
      </c>
    </row>
    <row r="11" spans="1:2" x14ac:dyDescent="0.25">
      <c r="A11" t="s">
        <v>43</v>
      </c>
    </row>
    <row r="13" spans="1:2" x14ac:dyDescent="0.25">
      <c r="A13" t="s">
        <v>44</v>
      </c>
    </row>
    <row r="15" spans="1:2" x14ac:dyDescent="0.25">
      <c r="A15" t="s">
        <v>45</v>
      </c>
      <c r="B15" t="s">
        <v>46</v>
      </c>
    </row>
    <row r="17" spans="1:1" x14ac:dyDescent="0.25">
      <c r="A17" t="s">
        <v>47</v>
      </c>
    </row>
    <row r="19" spans="1:1" x14ac:dyDescent="0.25">
      <c r="A19" t="s">
        <v>48</v>
      </c>
    </row>
    <row r="20" spans="1:1" x14ac:dyDescent="0.25">
      <c r="A20" t="s">
        <v>49</v>
      </c>
    </row>
    <row r="21" spans="1:1" x14ac:dyDescent="0.25">
      <c r="A21" t="s">
        <v>50</v>
      </c>
    </row>
    <row r="22" spans="1:1" x14ac:dyDescent="0.25">
      <c r="A22" t="s">
        <v>51</v>
      </c>
    </row>
    <row r="23" spans="1:1" x14ac:dyDescent="0.25">
      <c r="A23" t="s">
        <v>52</v>
      </c>
    </row>
    <row r="24" spans="1:1" x14ac:dyDescent="0.25">
      <c r="A24" t="s">
        <v>53</v>
      </c>
    </row>
    <row r="25" spans="1:1" x14ac:dyDescent="0.25">
      <c r="A25" t="s">
        <v>54</v>
      </c>
    </row>
    <row r="27" spans="1:1" x14ac:dyDescent="0.25">
      <c r="A27" t="s">
        <v>55</v>
      </c>
    </row>
    <row r="28" spans="1:1" x14ac:dyDescent="0.25">
      <c r="A28" t="s">
        <v>56</v>
      </c>
    </row>
    <row r="29" spans="1:1" x14ac:dyDescent="0.25">
      <c r="A29" t="s">
        <v>57</v>
      </c>
    </row>
    <row r="30" spans="1:1" x14ac:dyDescent="0.25">
      <c r="A30" t="s">
        <v>58</v>
      </c>
    </row>
    <row r="31" spans="1:1" x14ac:dyDescent="0.25">
      <c r="A31" t="s">
        <v>59</v>
      </c>
    </row>
    <row r="32" spans="1:1" x14ac:dyDescent="0.25">
      <c r="A32" t="s">
        <v>60</v>
      </c>
    </row>
    <row r="33" spans="1:1" x14ac:dyDescent="0.25">
      <c r="A33" t="s">
        <v>61</v>
      </c>
    </row>
    <row r="34" spans="1:1" x14ac:dyDescent="0.25">
      <c r="A34" t="s">
        <v>62</v>
      </c>
    </row>
    <row r="35" spans="1:1" x14ac:dyDescent="0.25">
      <c r="A35" t="s">
        <v>63</v>
      </c>
    </row>
    <row r="36" spans="1:1" x14ac:dyDescent="0.25">
      <c r="A36" t="s">
        <v>64</v>
      </c>
    </row>
    <row r="37" spans="1:1" x14ac:dyDescent="0.25">
      <c r="A37" t="s">
        <v>65</v>
      </c>
    </row>
    <row r="38" spans="1:1" x14ac:dyDescent="0.25">
      <c r="A38" t="s">
        <v>51</v>
      </c>
    </row>
    <row r="39" spans="1:1" x14ac:dyDescent="0.25">
      <c r="A39" t="s">
        <v>66</v>
      </c>
    </row>
    <row r="41" spans="1:1" x14ac:dyDescent="0.25">
      <c r="A41" t="s">
        <v>67</v>
      </c>
    </row>
    <row r="42" spans="1:1" x14ac:dyDescent="0.25">
      <c r="A42" t="s">
        <v>68</v>
      </c>
    </row>
    <row r="44" spans="1:1" x14ac:dyDescent="0.25">
      <c r="A44" t="s">
        <v>69</v>
      </c>
    </row>
    <row r="45" spans="1:1" x14ac:dyDescent="0.25">
      <c r="A45" t="s">
        <v>70</v>
      </c>
    </row>
    <row r="46" spans="1:1" x14ac:dyDescent="0.25">
      <c r="A46" t="s">
        <v>71</v>
      </c>
    </row>
    <row r="47" spans="1:1" x14ac:dyDescent="0.25">
      <c r="A47" t="s">
        <v>72</v>
      </c>
    </row>
    <row r="48" spans="1:1" x14ac:dyDescent="0.25">
      <c r="A48" t="s">
        <v>73</v>
      </c>
    </row>
    <row r="49" spans="1:1" x14ac:dyDescent="0.25">
      <c r="A49" t="s">
        <v>74</v>
      </c>
    </row>
    <row r="50" spans="1:1" x14ac:dyDescent="0.25">
      <c r="A50" t="s">
        <v>75</v>
      </c>
    </row>
    <row r="51" spans="1:1" x14ac:dyDescent="0.25">
      <c r="A51" t="s">
        <v>76</v>
      </c>
    </row>
    <row r="52" spans="1:1" x14ac:dyDescent="0.25">
      <c r="A52" t="s">
        <v>77</v>
      </c>
    </row>
    <row r="53" spans="1:1" x14ac:dyDescent="0.25">
      <c r="A53" t="s">
        <v>49</v>
      </c>
    </row>
    <row r="54" spans="1:1" x14ac:dyDescent="0.25">
      <c r="A54" t="s">
        <v>48</v>
      </c>
    </row>
    <row r="55" spans="1:1" x14ac:dyDescent="0.25">
      <c r="A55" t="s">
        <v>78</v>
      </c>
    </row>
    <row r="57" spans="1:1" x14ac:dyDescent="0.25">
      <c r="A57" t="s">
        <v>79</v>
      </c>
    </row>
    <row r="58" spans="1:1" x14ac:dyDescent="0.25">
      <c r="A58" t="s">
        <v>80</v>
      </c>
    </row>
    <row r="59" spans="1:1" x14ac:dyDescent="0.25">
      <c r="A59" t="s">
        <v>81</v>
      </c>
    </row>
    <row r="60" spans="1:1" x14ac:dyDescent="0.25">
      <c r="A60" t="s">
        <v>82</v>
      </c>
    </row>
    <row r="62" spans="1:1" x14ac:dyDescent="0.25">
      <c r="A62" t="s">
        <v>61</v>
      </c>
    </row>
    <row r="63" spans="1:1" x14ac:dyDescent="0.25">
      <c r="A63" t="s">
        <v>83</v>
      </c>
    </row>
    <row r="64" spans="1:1" x14ac:dyDescent="0.25">
      <c r="A64" t="s">
        <v>84</v>
      </c>
    </row>
    <row r="65" spans="1:1" x14ac:dyDescent="0.25">
      <c r="A65" t="s">
        <v>85</v>
      </c>
    </row>
    <row r="66" spans="1:1" x14ac:dyDescent="0.25">
      <c r="A66" t="s">
        <v>86</v>
      </c>
    </row>
    <row r="67" spans="1:1" x14ac:dyDescent="0.25">
      <c r="A67" t="s">
        <v>87</v>
      </c>
    </row>
    <row r="68" spans="1:1" x14ac:dyDescent="0.25">
      <c r="A68" t="s">
        <v>88</v>
      </c>
    </row>
    <row r="69" spans="1:1" x14ac:dyDescent="0.25">
      <c r="A69" t="s">
        <v>89</v>
      </c>
    </row>
    <row r="70" spans="1:1" x14ac:dyDescent="0.25">
      <c r="A70" t="s">
        <v>90</v>
      </c>
    </row>
    <row r="71" spans="1:1" x14ac:dyDescent="0.25">
      <c r="A71" t="s">
        <v>91</v>
      </c>
    </row>
    <row r="72" spans="1:1" x14ac:dyDescent="0.25">
      <c r="A72" t="s">
        <v>92</v>
      </c>
    </row>
    <row r="74" spans="1:1" x14ac:dyDescent="0.25">
      <c r="A74" t="s">
        <v>93</v>
      </c>
    </row>
    <row r="75" spans="1:1" x14ac:dyDescent="0.25">
      <c r="A75" t="s">
        <v>94</v>
      </c>
    </row>
    <row r="76" spans="1:1" x14ac:dyDescent="0.25">
      <c r="A76" t="s">
        <v>95</v>
      </c>
    </row>
    <row r="77" spans="1:1" x14ac:dyDescent="0.25">
      <c r="A77" t="s">
        <v>96</v>
      </c>
    </row>
    <row r="78" spans="1:1" x14ac:dyDescent="0.25">
      <c r="A78" t="s">
        <v>97</v>
      </c>
    </row>
    <row r="79" spans="1:1" x14ac:dyDescent="0.25">
      <c r="A79" t="s">
        <v>98</v>
      </c>
    </row>
    <row r="80" spans="1:1" x14ac:dyDescent="0.25">
      <c r="A80" t="s">
        <v>99</v>
      </c>
    </row>
    <row r="81" spans="1:1" x14ac:dyDescent="0.25">
      <c r="A81" t="s">
        <v>100</v>
      </c>
    </row>
    <row r="83" spans="1:1" x14ac:dyDescent="0.25">
      <c r="A83" t="s">
        <v>101</v>
      </c>
    </row>
    <row r="85" spans="1:1" x14ac:dyDescent="0.25">
      <c r="A85" t="s">
        <v>101</v>
      </c>
    </row>
    <row r="86" spans="1:1" x14ac:dyDescent="0.25">
      <c r="A86" t="s">
        <v>102</v>
      </c>
    </row>
    <row r="88" spans="1:1" x14ac:dyDescent="0.25">
      <c r="A88" t="s">
        <v>178</v>
      </c>
    </row>
    <row r="90" spans="1:1" x14ac:dyDescent="0.25">
      <c r="A90" t="s">
        <v>179</v>
      </c>
    </row>
    <row r="92" spans="1:1" x14ac:dyDescent="0.25">
      <c r="A92" t="s">
        <v>182</v>
      </c>
    </row>
    <row r="94" spans="1:1" x14ac:dyDescent="0.25">
      <c r="A94" t="s">
        <v>103</v>
      </c>
    </row>
    <row r="96" spans="1:1" x14ac:dyDescent="0.25">
      <c r="A96" t="s">
        <v>104</v>
      </c>
    </row>
    <row r="97" spans="1:1" x14ac:dyDescent="0.25">
      <c r="A97" t="s">
        <v>105</v>
      </c>
    </row>
    <row r="98" spans="1:1" x14ac:dyDescent="0.25">
      <c r="A98" t="s">
        <v>106</v>
      </c>
    </row>
    <row r="99" spans="1:1" x14ac:dyDescent="0.25">
      <c r="A99" t="s">
        <v>107</v>
      </c>
    </row>
    <row r="100" spans="1:1" x14ac:dyDescent="0.25">
      <c r="A100" t="s">
        <v>108</v>
      </c>
    </row>
    <row r="102" spans="1:1" x14ac:dyDescent="0.25">
      <c r="A102" t="s">
        <v>109</v>
      </c>
    </row>
    <row r="104" spans="1:1" x14ac:dyDescent="0.25">
      <c r="A104" t="s">
        <v>110</v>
      </c>
    </row>
    <row r="105" spans="1:1" x14ac:dyDescent="0.25">
      <c r="A105" t="s">
        <v>111</v>
      </c>
    </row>
    <row r="106" spans="1:1" x14ac:dyDescent="0.25">
      <c r="A106" t="s">
        <v>112</v>
      </c>
    </row>
    <row r="108" spans="1:1" x14ac:dyDescent="0.25">
      <c r="A108" t="s">
        <v>113</v>
      </c>
    </row>
    <row r="110" spans="1:1" x14ac:dyDescent="0.25">
      <c r="A110" t="s">
        <v>114</v>
      </c>
    </row>
    <row r="111" spans="1:1" x14ac:dyDescent="0.25">
      <c r="A111" t="s">
        <v>115</v>
      </c>
    </row>
    <row r="113" spans="1:1" x14ac:dyDescent="0.25">
      <c r="A113" t="s">
        <v>116</v>
      </c>
    </row>
    <row r="115" spans="1:1" x14ac:dyDescent="0.25">
      <c r="A115" t="s">
        <v>117</v>
      </c>
    </row>
    <row r="116" spans="1:1" x14ac:dyDescent="0.25">
      <c r="A116" t="s">
        <v>118</v>
      </c>
    </row>
    <row r="117" spans="1:1" x14ac:dyDescent="0.25">
      <c r="A117" t="s">
        <v>119</v>
      </c>
    </row>
    <row r="118" spans="1:1" x14ac:dyDescent="0.25">
      <c r="A118" t="s">
        <v>120</v>
      </c>
    </row>
    <row r="119" spans="1:1" x14ac:dyDescent="0.25">
      <c r="A119" t="s">
        <v>121</v>
      </c>
    </row>
    <row r="120" spans="1:1" x14ac:dyDescent="0.25">
      <c r="A120" t="s">
        <v>122</v>
      </c>
    </row>
    <row r="121" spans="1:1" x14ac:dyDescent="0.25">
      <c r="A121" t="s">
        <v>123</v>
      </c>
    </row>
    <row r="122" spans="1:1" x14ac:dyDescent="0.25">
      <c r="A122" t="s">
        <v>124</v>
      </c>
    </row>
    <row r="124" spans="1:1" x14ac:dyDescent="0.25">
      <c r="A124" t="s">
        <v>125</v>
      </c>
    </row>
    <row r="126" spans="1:1" x14ac:dyDescent="0.25">
      <c r="A126" t="s">
        <v>126</v>
      </c>
    </row>
    <row r="127" spans="1:1" x14ac:dyDescent="0.25">
      <c r="A127" t="s">
        <v>127</v>
      </c>
    </row>
    <row r="129" spans="1:2" x14ac:dyDescent="0.25">
      <c r="A129" t="s">
        <v>128</v>
      </c>
    </row>
    <row r="131" spans="1:2" x14ac:dyDescent="0.25">
      <c r="A131" t="s">
        <v>129</v>
      </c>
    </row>
    <row r="133" spans="1:2" x14ac:dyDescent="0.25">
      <c r="A133" t="s">
        <v>130</v>
      </c>
    </row>
    <row r="135" spans="1:2" x14ac:dyDescent="0.25">
      <c r="A135" t="s">
        <v>131</v>
      </c>
    </row>
    <row r="136" spans="1:2" x14ac:dyDescent="0.25">
      <c r="A136" t="s">
        <v>132</v>
      </c>
    </row>
    <row r="137" spans="1:2" x14ac:dyDescent="0.25">
      <c r="A137" t="s">
        <v>133</v>
      </c>
    </row>
    <row r="139" spans="1:2" x14ac:dyDescent="0.25">
      <c r="A139" t="s">
        <v>183</v>
      </c>
    </row>
    <row r="141" spans="1:2" x14ac:dyDescent="0.25">
      <c r="A141" t="s">
        <v>134</v>
      </c>
    </row>
    <row r="142" spans="1:2" x14ac:dyDescent="0.25">
      <c r="A142" t="s">
        <v>184</v>
      </c>
    </row>
    <row r="143" spans="1:2" x14ac:dyDescent="0.25">
      <c r="A143" t="s">
        <v>135</v>
      </c>
    </row>
    <row r="144" spans="1:2" x14ac:dyDescent="0.25">
      <c r="A144" t="s">
        <v>136</v>
      </c>
      <c r="B144">
        <v>31.3</v>
      </c>
    </row>
    <row r="145" spans="1:2" x14ac:dyDescent="0.25">
      <c r="A145" t="s">
        <v>137</v>
      </c>
      <c r="B145">
        <v>31</v>
      </c>
    </row>
    <row r="146" spans="1:2" x14ac:dyDescent="0.25">
      <c r="A146" t="s">
        <v>138</v>
      </c>
      <c r="B146" t="s">
        <v>139</v>
      </c>
    </row>
    <row r="147" spans="1:2" x14ac:dyDescent="0.25">
      <c r="A147" t="s">
        <v>140</v>
      </c>
      <c r="B147" t="s">
        <v>139</v>
      </c>
    </row>
    <row r="148" spans="1:2" x14ac:dyDescent="0.25">
      <c r="A148" t="s">
        <v>141</v>
      </c>
      <c r="B148" t="s">
        <v>139</v>
      </c>
    </row>
    <row r="149" spans="1:2" x14ac:dyDescent="0.25">
      <c r="A149" t="s">
        <v>142</v>
      </c>
      <c r="B149" t="s">
        <v>139</v>
      </c>
    </row>
    <row r="150" spans="1:2" x14ac:dyDescent="0.25">
      <c r="A150" t="s">
        <v>143</v>
      </c>
      <c r="B150" t="s">
        <v>139</v>
      </c>
    </row>
    <row r="151" spans="1:2" x14ac:dyDescent="0.25">
      <c r="A151" t="s">
        <v>144</v>
      </c>
      <c r="B151" t="s">
        <v>185</v>
      </c>
    </row>
    <row r="152" spans="1:2" x14ac:dyDescent="0.25">
      <c r="A152" t="s">
        <v>145</v>
      </c>
      <c r="B152" t="s">
        <v>186</v>
      </c>
    </row>
    <row r="153" spans="1:2" x14ac:dyDescent="0.25">
      <c r="A153" t="s">
        <v>146</v>
      </c>
      <c r="B153" s="2">
        <v>390001</v>
      </c>
    </row>
    <row r="154" spans="1:2" x14ac:dyDescent="0.25">
      <c r="A154" t="s">
        <v>147</v>
      </c>
      <c r="B154" s="2">
        <v>2453030</v>
      </c>
    </row>
    <row r="155" spans="1:2" x14ac:dyDescent="0.25">
      <c r="A155" t="s">
        <v>148</v>
      </c>
      <c r="B155" t="s">
        <v>187</v>
      </c>
    </row>
    <row r="156" spans="1:2" x14ac:dyDescent="0.25">
      <c r="A156" t="s">
        <v>20</v>
      </c>
      <c r="B156">
        <v>12.24</v>
      </c>
    </row>
    <row r="157" spans="1:2" x14ac:dyDescent="0.25">
      <c r="A157" t="s">
        <v>149</v>
      </c>
      <c r="B157">
        <v>2.54</v>
      </c>
    </row>
    <row r="158" spans="1:2" x14ac:dyDescent="0.25">
      <c r="A158" t="s">
        <v>150</v>
      </c>
      <c r="B158" t="s">
        <v>188</v>
      </c>
    </row>
    <row r="159" spans="1:2" x14ac:dyDescent="0.25">
      <c r="A159" t="s">
        <v>151</v>
      </c>
    </row>
    <row r="161" spans="1:2" x14ac:dyDescent="0.25">
      <c r="A161" t="s">
        <v>152</v>
      </c>
    </row>
    <row r="163" spans="1:2" x14ac:dyDescent="0.25">
      <c r="A163" t="s">
        <v>189</v>
      </c>
    </row>
    <row r="164" spans="1:2" x14ac:dyDescent="0.25">
      <c r="A164" t="s">
        <v>190</v>
      </c>
    </row>
    <row r="165" spans="1:2" x14ac:dyDescent="0.25">
      <c r="A165" t="s">
        <v>191</v>
      </c>
    </row>
    <row r="166" spans="1:2" x14ac:dyDescent="0.25">
      <c r="A166" t="s">
        <v>192</v>
      </c>
    </row>
    <row r="167" spans="1:2" x14ac:dyDescent="0.25">
      <c r="A167" t="s">
        <v>193</v>
      </c>
    </row>
    <row r="168" spans="1:2" x14ac:dyDescent="0.25">
      <c r="A168" t="s">
        <v>194</v>
      </c>
    </row>
    <row r="169" spans="1:2" x14ac:dyDescent="0.25">
      <c r="A169" t="s">
        <v>195</v>
      </c>
    </row>
    <row r="170" spans="1:2" x14ac:dyDescent="0.25">
      <c r="A170" t="s">
        <v>196</v>
      </c>
      <c r="B170" s="2"/>
    </row>
    <row r="171" spans="1:2" x14ac:dyDescent="0.25">
      <c r="A171" t="s">
        <v>197</v>
      </c>
      <c r="B171" s="2"/>
    </row>
    <row r="172" spans="1:2" x14ac:dyDescent="0.25">
      <c r="A172" t="s">
        <v>198</v>
      </c>
      <c r="B172" s="2"/>
    </row>
    <row r="173" spans="1:2" x14ac:dyDescent="0.25">
      <c r="B173" s="2"/>
    </row>
    <row r="174" spans="1:2" x14ac:dyDescent="0.25">
      <c r="A174" t="s">
        <v>199</v>
      </c>
    </row>
    <row r="175" spans="1:2" x14ac:dyDescent="0.25">
      <c r="A175" t="s">
        <v>183</v>
      </c>
    </row>
    <row r="177" spans="1:2" x14ac:dyDescent="0.25">
      <c r="A177" t="s">
        <v>153</v>
      </c>
    </row>
    <row r="178" spans="1:2" x14ac:dyDescent="0.25">
      <c r="A178" t="s">
        <v>154</v>
      </c>
    </row>
    <row r="179" spans="1:2" x14ac:dyDescent="0.25">
      <c r="A179" t="s">
        <v>155</v>
      </c>
    </row>
    <row r="180" spans="1:2" x14ac:dyDescent="0.25">
      <c r="A180" t="s">
        <v>156</v>
      </c>
    </row>
    <row r="181" spans="1:2" x14ac:dyDescent="0.25">
      <c r="A181" t="s">
        <v>157</v>
      </c>
    </row>
    <row r="182" spans="1:2" x14ac:dyDescent="0.25">
      <c r="A182" t="s">
        <v>158</v>
      </c>
    </row>
    <row r="183" spans="1:2" x14ac:dyDescent="0.25">
      <c r="A183" t="s">
        <v>159</v>
      </c>
    </row>
    <row r="184" spans="1:2" x14ac:dyDescent="0.25">
      <c r="A184" t="s">
        <v>160</v>
      </c>
    </row>
    <row r="185" spans="1:2" x14ac:dyDescent="0.25">
      <c r="A185" t="s">
        <v>180</v>
      </c>
    </row>
    <row r="187" spans="1:2" x14ac:dyDescent="0.25">
      <c r="A187" t="s">
        <v>118</v>
      </c>
    </row>
    <row r="189" spans="1:2" x14ac:dyDescent="0.25">
      <c r="A189" t="s">
        <v>161</v>
      </c>
      <c r="B189" t="s">
        <v>139</v>
      </c>
    </row>
    <row r="190" spans="1:2" x14ac:dyDescent="0.25">
      <c r="A190" t="s">
        <v>162</v>
      </c>
      <c r="B190">
        <v>4.66</v>
      </c>
    </row>
    <row r="191" spans="1:2" x14ac:dyDescent="0.25">
      <c r="A191" t="s">
        <v>163</v>
      </c>
      <c r="B191" t="s">
        <v>139</v>
      </c>
    </row>
    <row r="192" spans="1:2" x14ac:dyDescent="0.25">
      <c r="A192" t="s">
        <v>164</v>
      </c>
    </row>
    <row r="194" spans="1:2" x14ac:dyDescent="0.25">
      <c r="A194" t="s">
        <v>165</v>
      </c>
    </row>
    <row r="196" spans="1:2" x14ac:dyDescent="0.25">
      <c r="A196" t="s">
        <v>181</v>
      </c>
      <c r="B196" t="s">
        <v>139</v>
      </c>
    </row>
    <row r="197" spans="1:2" x14ac:dyDescent="0.25">
      <c r="A197" t="s">
        <v>166</v>
      </c>
      <c r="B197" t="s">
        <v>139</v>
      </c>
    </row>
    <row r="198" spans="1:2" x14ac:dyDescent="0.25">
      <c r="A198" t="s">
        <v>167</v>
      </c>
      <c r="B198">
        <v>2.2000000000000002</v>
      </c>
    </row>
    <row r="199" spans="1:2" x14ac:dyDescent="0.25">
      <c r="A199" t="s">
        <v>168</v>
      </c>
      <c r="B199" t="s">
        <v>139</v>
      </c>
    </row>
    <row r="201" spans="1:2" x14ac:dyDescent="0.25">
      <c r="A201" t="s">
        <v>169</v>
      </c>
    </row>
    <row r="203" spans="1:2" x14ac:dyDescent="0.25">
      <c r="A203" t="s">
        <v>170</v>
      </c>
    </row>
    <row r="205" spans="1:2" x14ac:dyDescent="0.25">
      <c r="A205" t="s">
        <v>171</v>
      </c>
    </row>
    <row r="207" spans="1:2" x14ac:dyDescent="0.25">
      <c r="A207" t="s">
        <v>200</v>
      </c>
    </row>
    <row r="208" spans="1:2" x14ac:dyDescent="0.25">
      <c r="A208" t="s">
        <v>172</v>
      </c>
    </row>
    <row r="210" spans="1:1" x14ac:dyDescent="0.25">
      <c r="A210" t="s">
        <v>173</v>
      </c>
    </row>
    <row r="212" spans="1:1" x14ac:dyDescent="0.25">
      <c r="A212" t="s">
        <v>174</v>
      </c>
    </row>
    <row r="213" spans="1:1" x14ac:dyDescent="0.25">
      <c r="A213" t="s">
        <v>175</v>
      </c>
    </row>
    <row r="215" spans="1:1" x14ac:dyDescent="0.25">
      <c r="A215" t="s">
        <v>176</v>
      </c>
    </row>
    <row r="217" spans="1:1" x14ac:dyDescent="0.25">
      <c r="A217" t="s">
        <v>21</v>
      </c>
    </row>
    <row r="219" spans="1:1" x14ac:dyDescent="0.25">
      <c r="A219" t="s">
        <v>177</v>
      </c>
    </row>
    <row r="221" spans="1:1" x14ac:dyDescent="0.25">
      <c r="A221">
        <v>1186300006</v>
      </c>
    </row>
    <row r="222" spans="1:1" x14ac:dyDescent="0.25">
      <c r="A222">
        <v>1</v>
      </c>
    </row>
    <row r="260" spans="2:2" x14ac:dyDescent="0.25">
      <c r="B260" s="11"/>
    </row>
    <row r="261" spans="2:2" x14ac:dyDescent="0.25">
      <c r="B261" s="11"/>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00"/>
  </sheetPr>
  <dimension ref="A1:AA1"/>
  <sheetViews>
    <sheetView zoomScale="55" zoomScaleNormal="55" workbookViewId="0">
      <selection activeCell="A2" sqref="A2"/>
    </sheetView>
  </sheetViews>
  <sheetFormatPr defaultColWidth="16.7109375" defaultRowHeight="15" x14ac:dyDescent="0.25"/>
  <sheetData>
    <row r="1" spans="1:27" x14ac:dyDescent="0.25">
      <c r="A1" s="9" t="s">
        <v>18</v>
      </c>
      <c r="B1" s="9" t="s">
        <v>22</v>
      </c>
      <c r="C1" s="9" t="s">
        <v>23</v>
      </c>
      <c r="D1" s="9" t="s">
        <v>24</v>
      </c>
      <c r="E1" s="9" t="s">
        <v>25</v>
      </c>
      <c r="F1" s="9" t="s">
        <v>26</v>
      </c>
      <c r="G1" s="9" t="s">
        <v>27</v>
      </c>
      <c r="H1" s="9" t="s">
        <v>28</v>
      </c>
      <c r="I1" s="9" t="s">
        <v>29</v>
      </c>
      <c r="J1" s="9" t="s">
        <v>30</v>
      </c>
      <c r="K1" s="9" t="s">
        <v>31</v>
      </c>
      <c r="L1" s="9" t="s">
        <v>32</v>
      </c>
      <c r="M1" s="9" t="s">
        <v>33</v>
      </c>
      <c r="N1" s="9" t="s">
        <v>34</v>
      </c>
      <c r="O1" s="9" t="s">
        <v>35</v>
      </c>
      <c r="P1" s="9" t="s">
        <v>36</v>
      </c>
      <c r="Y1" t="s">
        <v>15</v>
      </c>
      <c r="Z1">
        <v>37</v>
      </c>
      <c r="AA1">
        <v>142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00B0F0"/>
  </sheetPr>
  <dimension ref="A1:Z1"/>
  <sheetViews>
    <sheetView zoomScale="55" zoomScaleNormal="55" workbookViewId="0">
      <selection activeCell="A2" sqref="A2"/>
    </sheetView>
  </sheetViews>
  <sheetFormatPr defaultColWidth="18.28515625" defaultRowHeight="15" x14ac:dyDescent="0.25"/>
  <sheetData>
    <row r="1" spans="1:26" x14ac:dyDescent="0.25">
      <c r="A1" s="9" t="s">
        <v>18</v>
      </c>
      <c r="B1" s="9" t="s">
        <v>22</v>
      </c>
      <c r="C1" s="9" t="s">
        <v>23</v>
      </c>
      <c r="D1" s="9" t="s">
        <v>24</v>
      </c>
      <c r="E1" s="9" t="s">
        <v>25</v>
      </c>
      <c r="F1" s="9" t="s">
        <v>26</v>
      </c>
      <c r="G1" s="9" t="s">
        <v>27</v>
      </c>
      <c r="H1" s="9" t="s">
        <v>28</v>
      </c>
      <c r="I1" s="9" t="s">
        <v>29</v>
      </c>
      <c r="J1" s="9" t="s">
        <v>30</v>
      </c>
      <c r="K1" s="9" t="s">
        <v>31</v>
      </c>
      <c r="L1" s="9" t="s">
        <v>32</v>
      </c>
      <c r="M1" s="9" t="s">
        <v>33</v>
      </c>
      <c r="N1" s="9" t="s">
        <v>34</v>
      </c>
      <c r="O1" s="9" t="s">
        <v>35</v>
      </c>
      <c r="P1" s="9" t="s">
        <v>36</v>
      </c>
      <c r="Z1">
        <v>37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B050"/>
  </sheetPr>
  <dimension ref="A1:Q16"/>
  <sheetViews>
    <sheetView tabSelected="1" zoomScale="55" zoomScaleNormal="55" workbookViewId="0">
      <selection activeCell="R1" sqref="R1"/>
    </sheetView>
  </sheetViews>
  <sheetFormatPr defaultColWidth="18.5703125" defaultRowHeight="15" x14ac:dyDescent="0.25"/>
  <sheetData>
    <row r="1" spans="1:17" x14ac:dyDescent="0.25">
      <c r="A1" s="1" t="s">
        <v>0</v>
      </c>
      <c r="B1" s="1" t="s">
        <v>1</v>
      </c>
      <c r="C1" s="1" t="s">
        <v>2</v>
      </c>
      <c r="D1" s="1" t="s">
        <v>3</v>
      </c>
      <c r="E1" s="1" t="s">
        <v>4</v>
      </c>
      <c r="F1" s="1" t="s">
        <v>5</v>
      </c>
      <c r="G1" s="1" t="s">
        <v>6</v>
      </c>
      <c r="H1" s="1" t="s">
        <v>7</v>
      </c>
      <c r="I1" s="3" t="s">
        <v>8</v>
      </c>
      <c r="J1" s="5" t="s">
        <v>9</v>
      </c>
      <c r="K1" s="1" t="s">
        <v>10</v>
      </c>
      <c r="L1" s="2">
        <v>100000</v>
      </c>
      <c r="N1" s="9" t="s">
        <v>15</v>
      </c>
      <c r="O1" s="9">
        <v>37</v>
      </c>
      <c r="P1" s="9"/>
      <c r="Q1" s="10" t="s">
        <v>16</v>
      </c>
    </row>
    <row r="2" spans="1:17" x14ac:dyDescent="0.25">
      <c r="A2" s="1">
        <v>1</v>
      </c>
      <c r="B2" s="1" t="s">
        <v>22</v>
      </c>
      <c r="C2" s="1" t="s">
        <v>11</v>
      </c>
      <c r="D2" s="1">
        <v>0</v>
      </c>
      <c r="E2" s="1">
        <v>0</v>
      </c>
      <c r="F2" s="1">
        <v>0</v>
      </c>
      <c r="G2" s="1">
        <v>0</v>
      </c>
      <c r="H2" s="1">
        <v>7</v>
      </c>
      <c r="I2" s="7"/>
      <c r="J2" s="6"/>
      <c r="K2" s="1" t="s">
        <v>12</v>
      </c>
      <c r="L2" s="4">
        <v>0</v>
      </c>
      <c r="N2" s="9"/>
      <c r="O2" s="9"/>
      <c r="P2" s="9"/>
      <c r="Q2" s="9" t="s">
        <v>17</v>
      </c>
    </row>
    <row r="3" spans="1:17" x14ac:dyDescent="0.25">
      <c r="A3" s="1">
        <v>2</v>
      </c>
      <c r="B3" s="9" t="s">
        <v>23</v>
      </c>
      <c r="C3" s="9" t="s">
        <v>11</v>
      </c>
      <c r="D3" s="9">
        <v>0</v>
      </c>
      <c r="E3" s="9">
        <v>0</v>
      </c>
      <c r="F3" s="9">
        <v>0</v>
      </c>
      <c r="G3" s="9">
        <v>0</v>
      </c>
      <c r="H3" s="9">
        <v>7</v>
      </c>
      <c r="I3" s="7"/>
      <c r="J3" s="6"/>
      <c r="K3" s="1" t="s">
        <v>13</v>
      </c>
      <c r="L3" s="1">
        <f>COUNT(A:A)</f>
        <v>15</v>
      </c>
      <c r="N3" s="9"/>
      <c r="O3" s="9"/>
      <c r="P3" s="9"/>
      <c r="Q3" s="9" t="s">
        <v>17</v>
      </c>
    </row>
    <row r="4" spans="1:17" x14ac:dyDescent="0.25">
      <c r="A4" s="9">
        <v>3</v>
      </c>
      <c r="B4" s="1" t="s">
        <v>24</v>
      </c>
      <c r="C4" s="9" t="s">
        <v>11</v>
      </c>
      <c r="D4" s="9">
        <v>0</v>
      </c>
      <c r="E4" s="9">
        <v>0</v>
      </c>
      <c r="F4" s="9">
        <v>0</v>
      </c>
      <c r="G4" s="9">
        <v>0</v>
      </c>
      <c r="H4" s="9">
        <v>7</v>
      </c>
      <c r="I4" s="7"/>
      <c r="J4" s="6"/>
      <c r="K4" s="1" t="s">
        <v>14</v>
      </c>
      <c r="L4" s="2">
        <v>753</v>
      </c>
      <c r="N4" s="9"/>
      <c r="O4" s="9"/>
      <c r="P4" s="9"/>
      <c r="Q4" s="9" t="s">
        <v>17</v>
      </c>
    </row>
    <row r="5" spans="1:17" x14ac:dyDescent="0.25">
      <c r="A5" s="9">
        <v>4</v>
      </c>
      <c r="B5" s="1" t="s">
        <v>25</v>
      </c>
      <c r="C5" s="9" t="s">
        <v>11</v>
      </c>
      <c r="D5" s="9">
        <v>0</v>
      </c>
      <c r="E5" s="9">
        <v>0</v>
      </c>
      <c r="F5" s="9">
        <v>0</v>
      </c>
      <c r="G5" s="9">
        <v>0</v>
      </c>
      <c r="H5" s="9">
        <v>7</v>
      </c>
      <c r="I5" s="8"/>
      <c r="J5" s="6"/>
      <c r="K5" s="1"/>
      <c r="L5" s="1"/>
      <c r="N5" s="9"/>
      <c r="O5" s="9"/>
      <c r="P5" s="9"/>
      <c r="Q5" s="9" t="s">
        <v>17</v>
      </c>
    </row>
    <row r="6" spans="1:17" x14ac:dyDescent="0.25">
      <c r="A6" s="9">
        <v>5</v>
      </c>
      <c r="B6" t="s">
        <v>26</v>
      </c>
      <c r="C6" s="9" t="s">
        <v>11</v>
      </c>
      <c r="D6" s="9">
        <v>0</v>
      </c>
      <c r="E6" s="9">
        <v>0</v>
      </c>
      <c r="F6" s="9">
        <v>0</v>
      </c>
      <c r="G6" s="9">
        <v>0</v>
      </c>
      <c r="H6" s="9">
        <v>7</v>
      </c>
      <c r="Q6" s="9" t="s">
        <v>17</v>
      </c>
    </row>
    <row r="7" spans="1:17" x14ac:dyDescent="0.25">
      <c r="A7" s="9">
        <v>6</v>
      </c>
      <c r="B7" t="s">
        <v>27</v>
      </c>
      <c r="C7" s="9" t="s">
        <v>11</v>
      </c>
      <c r="D7" s="9">
        <v>0</v>
      </c>
      <c r="E7" s="9">
        <v>0</v>
      </c>
      <c r="F7" s="9">
        <v>0</v>
      </c>
      <c r="G7" s="9">
        <v>0</v>
      </c>
      <c r="H7" s="9">
        <v>7</v>
      </c>
      <c r="Q7" s="9" t="s">
        <v>17</v>
      </c>
    </row>
    <row r="8" spans="1:17" x14ac:dyDescent="0.25">
      <c r="A8" s="9">
        <v>7</v>
      </c>
      <c r="B8" s="9" t="s">
        <v>28</v>
      </c>
      <c r="C8" s="9" t="s">
        <v>11</v>
      </c>
      <c r="D8" s="9">
        <v>0</v>
      </c>
      <c r="E8" s="9">
        <v>0</v>
      </c>
      <c r="F8" s="9">
        <v>0</v>
      </c>
      <c r="G8" s="9">
        <v>0</v>
      </c>
      <c r="H8" s="9">
        <v>7</v>
      </c>
      <c r="Q8" s="9" t="s">
        <v>17</v>
      </c>
    </row>
    <row r="9" spans="1:17" x14ac:dyDescent="0.25">
      <c r="A9" s="9">
        <v>8</v>
      </c>
      <c r="B9" t="s">
        <v>29</v>
      </c>
      <c r="C9" s="9" t="s">
        <v>11</v>
      </c>
      <c r="D9" s="9">
        <v>0</v>
      </c>
      <c r="E9" s="9">
        <v>0</v>
      </c>
      <c r="F9" s="9">
        <v>0</v>
      </c>
      <c r="G9" s="9">
        <v>0</v>
      </c>
      <c r="H9" s="9">
        <v>7</v>
      </c>
      <c r="Q9" s="9" t="s">
        <v>17</v>
      </c>
    </row>
    <row r="10" spans="1:17" x14ac:dyDescent="0.25">
      <c r="A10" s="9">
        <v>9</v>
      </c>
      <c r="B10" t="s">
        <v>30</v>
      </c>
      <c r="C10" s="9" t="s">
        <v>11</v>
      </c>
      <c r="D10" s="9">
        <v>0</v>
      </c>
      <c r="E10" s="9">
        <v>0</v>
      </c>
      <c r="F10" s="9">
        <v>0</v>
      </c>
      <c r="G10" s="9">
        <v>0</v>
      </c>
      <c r="H10" s="9">
        <v>7</v>
      </c>
      <c r="Q10" s="9" t="s">
        <v>17</v>
      </c>
    </row>
    <row r="11" spans="1:17" x14ac:dyDescent="0.25">
      <c r="A11" s="9">
        <v>10</v>
      </c>
      <c r="B11" t="s">
        <v>31</v>
      </c>
      <c r="C11" s="9" t="s">
        <v>11</v>
      </c>
      <c r="D11" s="9">
        <v>0</v>
      </c>
      <c r="E11" s="9">
        <v>0</v>
      </c>
      <c r="F11" s="9">
        <v>0</v>
      </c>
      <c r="G11" s="9">
        <v>0</v>
      </c>
      <c r="H11" s="9">
        <v>7</v>
      </c>
      <c r="Q11" s="9" t="s">
        <v>17</v>
      </c>
    </row>
    <row r="12" spans="1:17" x14ac:dyDescent="0.25">
      <c r="A12" s="9">
        <v>11</v>
      </c>
      <c r="B12" t="s">
        <v>32</v>
      </c>
      <c r="C12" s="9" t="s">
        <v>11</v>
      </c>
      <c r="D12" s="9">
        <v>0</v>
      </c>
      <c r="E12" s="9">
        <v>0</v>
      </c>
      <c r="F12" s="9">
        <v>0</v>
      </c>
      <c r="G12" s="9">
        <v>0</v>
      </c>
      <c r="H12" s="9">
        <v>7</v>
      </c>
      <c r="Q12" s="9" t="s">
        <v>17</v>
      </c>
    </row>
    <row r="13" spans="1:17" x14ac:dyDescent="0.25">
      <c r="A13" s="9">
        <v>12</v>
      </c>
      <c r="B13" t="s">
        <v>33</v>
      </c>
      <c r="C13" s="9" t="s">
        <v>11</v>
      </c>
      <c r="D13" s="9">
        <v>0</v>
      </c>
      <c r="E13" s="9">
        <v>0</v>
      </c>
      <c r="F13" s="9">
        <v>0</v>
      </c>
      <c r="G13" s="9">
        <v>0</v>
      </c>
      <c r="H13" s="9">
        <v>7</v>
      </c>
      <c r="Q13" s="9" t="s">
        <v>17</v>
      </c>
    </row>
    <row r="14" spans="1:17" x14ac:dyDescent="0.25">
      <c r="A14">
        <v>13</v>
      </c>
      <c r="B14" t="s">
        <v>34</v>
      </c>
      <c r="C14" s="9" t="s">
        <v>11</v>
      </c>
      <c r="D14" s="9">
        <v>0</v>
      </c>
      <c r="E14" s="9">
        <v>0</v>
      </c>
      <c r="F14" s="9">
        <v>0</v>
      </c>
      <c r="G14" s="9">
        <v>0</v>
      </c>
      <c r="H14" s="9">
        <v>7</v>
      </c>
      <c r="Q14" s="9" t="s">
        <v>17</v>
      </c>
    </row>
    <row r="15" spans="1:17" x14ac:dyDescent="0.25">
      <c r="A15">
        <v>14</v>
      </c>
      <c r="B15" t="s">
        <v>35</v>
      </c>
      <c r="C15" t="s">
        <v>11</v>
      </c>
      <c r="D15" s="9">
        <v>0</v>
      </c>
      <c r="E15" s="9">
        <v>0</v>
      </c>
      <c r="F15" s="9">
        <v>0</v>
      </c>
      <c r="G15" s="9">
        <v>0</v>
      </c>
      <c r="H15" s="9">
        <v>7</v>
      </c>
      <c r="Q15" s="9" t="s">
        <v>17</v>
      </c>
    </row>
    <row r="16" spans="1:17" x14ac:dyDescent="0.25">
      <c r="A16">
        <v>15</v>
      </c>
      <c r="B16" t="s">
        <v>36</v>
      </c>
      <c r="C16" s="9" t="s">
        <v>11</v>
      </c>
      <c r="D16" s="9">
        <v>0</v>
      </c>
      <c r="E16" s="9">
        <v>0</v>
      </c>
      <c r="F16" s="9">
        <v>0</v>
      </c>
      <c r="G16" s="9">
        <v>0</v>
      </c>
      <c r="H16" s="9">
        <v>7</v>
      </c>
      <c r="Q16" s="9" t="s">
        <v>17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00B050"/>
  </sheetPr>
  <dimension ref="A1:O1"/>
  <sheetViews>
    <sheetView zoomScale="55" zoomScaleNormal="55" workbookViewId="0">
      <selection activeCell="O2" sqref="O2"/>
    </sheetView>
  </sheetViews>
  <sheetFormatPr defaultColWidth="19.7109375" defaultRowHeight="15" x14ac:dyDescent="0.25"/>
  <cols>
    <col min="6" max="6" width="19.7109375" style="9"/>
  </cols>
  <sheetData>
    <row r="1" spans="1:15" x14ac:dyDescent="0.25">
      <c r="A1" t="s">
        <v>18</v>
      </c>
      <c r="B1" s="9" t="s">
        <v>22</v>
      </c>
      <c r="C1" s="9" t="s">
        <v>23</v>
      </c>
      <c r="D1" s="9" t="s">
        <v>24</v>
      </c>
      <c r="E1" s="9" t="s">
        <v>25</v>
      </c>
      <c r="F1" s="9" t="s">
        <v>26</v>
      </c>
      <c r="G1" s="9" t="s">
        <v>27</v>
      </c>
      <c r="H1" s="9" t="s">
        <v>28</v>
      </c>
      <c r="I1" s="9" t="s">
        <v>29</v>
      </c>
      <c r="J1" s="9" t="s">
        <v>30</v>
      </c>
      <c r="K1" s="9" t="s">
        <v>31</v>
      </c>
      <c r="L1" s="9" t="s">
        <v>32</v>
      </c>
      <c r="M1" s="9" t="s">
        <v>33</v>
      </c>
      <c r="N1" s="9" t="s">
        <v>34</v>
      </c>
      <c r="O1" s="9" t="s">
        <v>35</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9"/>
  </sheetPr>
  <dimension ref="A1"/>
  <sheetViews>
    <sheetView workbookViewId="0"/>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31</vt:i4>
      </vt:variant>
    </vt:vector>
  </HeadingPairs>
  <TitlesOfParts>
    <vt:vector size="37" baseType="lpstr">
      <vt:lpstr>Intake</vt:lpstr>
      <vt:lpstr>Summary_Stocks</vt:lpstr>
      <vt:lpstr>Values_Stocks</vt:lpstr>
      <vt:lpstr>Portfolio_Analysis</vt:lpstr>
      <vt:lpstr>PnL_Analysis</vt:lpstr>
      <vt:lpstr>Output</vt:lpstr>
      <vt:lpstr>Intake!q?s_0001.HK</vt:lpstr>
      <vt:lpstr>Intake!q?s_0008.HK</vt:lpstr>
      <vt:lpstr>Intake!q?s_0066.HK</vt:lpstr>
      <vt:lpstr>Intake!q?s_0087.HK</vt:lpstr>
      <vt:lpstr>Intake!q?s_1299.HK_1</vt:lpstr>
      <vt:lpstr>Intake!q?s_1299.HK_2</vt:lpstr>
      <vt:lpstr>Intake!q?s_AIA.NZ</vt:lpstr>
      <vt:lpstr>Intake!q?s_AIA.NZ_1</vt:lpstr>
      <vt:lpstr>Intake!q?s_AIA.NZ_2</vt:lpstr>
      <vt:lpstr>Intake!q?s_AIA.NZ_3</vt:lpstr>
      <vt:lpstr>Intake!q?s_ANZ.NZ</vt:lpstr>
      <vt:lpstr>Intake!q?s_ANZ.NZ_1</vt:lpstr>
      <vt:lpstr>Intake!q?s_ANZ.NZ_2</vt:lpstr>
      <vt:lpstr>Intake!q?s_ANZ.NZ_3</vt:lpstr>
      <vt:lpstr>Intake!q?s_BIT.NZ</vt:lpstr>
      <vt:lpstr>Intake!q?s_BIT.NZ_1</vt:lpstr>
      <vt:lpstr>Intake!q?s_BIT.NZ_2</vt:lpstr>
      <vt:lpstr>Intake!q?s_BIT.NZ_3</vt:lpstr>
      <vt:lpstr>Intake!q?s_FIN.NZ</vt:lpstr>
      <vt:lpstr>Intake!q?s_FIN.NZ_1</vt:lpstr>
      <vt:lpstr>Intake!q?s_FIN.NZ_2</vt:lpstr>
      <vt:lpstr>Intake!q?s_FIN.NZ_3</vt:lpstr>
      <vt:lpstr>Intake!q?s_IBM</vt:lpstr>
      <vt:lpstr>Intake!q?s_IBM_1</vt:lpstr>
      <vt:lpstr>Intake!q?s_IBM_2</vt:lpstr>
      <vt:lpstr>Intake!q?s_IQE.NZ</vt:lpstr>
      <vt:lpstr>Intake!q?s_IQE.NZ_1</vt:lpstr>
      <vt:lpstr>Intake!q?s_IQE.NZ_2</vt:lpstr>
      <vt:lpstr>Intake!q?s_IQE.NZ_3</vt:lpstr>
      <vt:lpstr>Intake!q?s_IQE.NZ_4</vt:lpstr>
      <vt:lpstr>Intake!q?s_IQE.NZ_5</vt:lpstr>
    </vt:vector>
  </TitlesOfParts>
  <Company>AIG</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Chan, Clement</dc:creator>
  <cp:lastModifiedBy>Clement Chan</cp:lastModifiedBy>
  <dcterms:created xsi:type="dcterms:W3CDTF">2014-12-03T18:38:20Z</dcterms:created>
  <dcterms:modified xsi:type="dcterms:W3CDTF">2015-03-04T23:32:34Z</dcterms:modified>
</cp:coreProperties>
</file>